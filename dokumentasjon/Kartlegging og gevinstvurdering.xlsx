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edning" sheetId="1" state="visible" r:id="rId1"/>
    <sheet name="Møteplan" sheetId="2" state="visible" r:id="rId2"/>
    <sheet name="Prosess" sheetId="3" state="visible" r:id="rId3"/>
    <sheet name="Kurstyper" sheetId="4" state="visible" r:id="rId4"/>
    <sheet name="Funksjoner" sheetId="5" state="visible" r:id="rId5"/>
    <sheet name="Integrasjoner" sheetId="6" state="visible" r:id="rId6"/>
    <sheet name="IT og drift" sheetId="7" state="visible" r:id="rId7"/>
    <sheet name="Gevin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-#,##0.0;&quot;-&quot;"/>
    <numFmt numFmtId="165" formatCode="#,##0.0"/>
    <numFmt numFmtId="166" formatCode="0%;-0%;&quot;-&quot;"/>
    <numFmt numFmtId="167" formatCode="#,##0;-#,##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5C73"/>
      <sz val="16"/>
    </font>
    <font>
      <name val="Arial"/>
      <i val="1"/>
      <color rgb="005D6B75"/>
      <sz val="10"/>
    </font>
    <font>
      <name val="Arial"/>
      <sz val="10"/>
    </font>
    <font>
      <name val="Arial"/>
      <b val="1"/>
      <color rgb="001F5C73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EF1F3"/>
      </patternFill>
    </fill>
    <fill>
      <patternFill patternType="solid">
        <fgColor rgb="001F5C73"/>
      </patternFill>
    </fill>
    <fill>
      <patternFill patternType="solid">
        <fgColor rgb="00E7F0F3"/>
      </patternFill>
    </fill>
  </fills>
  <borders count="2">
    <border>
      <left/>
      <right/>
      <top/>
      <bottom/>
      <diagonal/>
    </border>
    <border>
      <left style="thin">
        <color rgb="00D0D7DC"/>
      </left>
      <right style="thin">
        <color rgb="00D0D7DC"/>
      </right>
      <top style="thin">
        <color rgb="00D0D7DC"/>
      </top>
      <bottom style="thin">
        <color rgb="00D0D7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7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3" fontId="8" fillId="2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9" fontId="3" fillId="3" borderId="1" applyAlignment="1" pivotButton="0" quotePrefix="0" xfId="0">
      <alignment vertical="top" wrapText="1"/>
    </xf>
    <xf numFmtId="9" fontId="8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 wrapText="1"/>
    </xf>
    <xf numFmtId="9" fontId="5" fillId="5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4" borderId="1" pivotButton="0" quotePrefix="0" xfId="0"/>
    <xf numFmtId="164" fontId="9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167" fontId="5" fillId="5" borderId="1" applyAlignment="1" pivotButton="0" quotePrefix="0" xfId="0">
      <alignment vertical="top" wrapText="1"/>
    </xf>
    <xf numFmtId="168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E4" authorId="0" shapeId="0">
      <text>
        <t>Hvor mange ganger per år steget gjøres. Tips: antall kurs, antall deltakere eller antall kursdager.</t>
      </text>
    </comment>
    <comment ref="H4" authorId="0" shapeId="0">
      <text>
        <t>Forslag basert på prototypen og Stians referanse. Grovt anslag – overstyr i kolonnen «Deres autom.».</t>
      </text>
    </comment>
    <comment ref="H42" authorId="0" shapeId="0">
      <text>
        <t>Samlet automatiseringsgrad vektet etter tidsbruk.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IPR kurs – kartlegging og gevinstvurdering</t>
        </is>
      </c>
    </row>
    <row r="2">
      <c r="A2" s="2" t="inlineStr">
        <is>
          <t>Arbeidsbok til kartleggingsmøtet med administrasjonen. Fylles ut i møtet og etterpå.</t>
        </is>
      </c>
    </row>
    <row r="3">
      <c r="A3" s="3" t="inlineStr"/>
    </row>
    <row r="4">
      <c r="A4" s="4" t="inlineStr">
        <is>
          <t>Slik brukes arket</t>
        </is>
      </c>
    </row>
    <row r="5">
      <c r="A5" s="5" t="inlineStr">
        <is>
          <t>Gul celle</t>
        </is>
      </c>
      <c r="B5" s="6" t="inlineStr">
        <is>
          <t>Fylles inn av dere. Alt annet regnes ut automatisk.</t>
        </is>
      </c>
    </row>
    <row r="6">
      <c r="A6" s="7" t="inlineStr">
        <is>
          <t>Grå celle</t>
        </is>
      </c>
      <c r="B6" s="6" t="inlineStr">
        <is>
          <t>Forslag fra Jan/Claude (f.eks. forventet automatiseringsgrad). Overstyr i gul kolonne ved siden av.</t>
        </is>
      </c>
    </row>
    <row r="7">
      <c r="A7" s="8" t="inlineStr">
        <is>
          <t>Blå tekst</t>
        </is>
      </c>
      <c r="B7" s="6" t="inlineStr">
        <is>
          <t>Antakelse / fast tall som kan endres (f.eks. timekost).</t>
        </is>
      </c>
    </row>
    <row r="9">
      <c r="A9" s="4" t="inlineStr">
        <is>
          <t>Arkfaner</t>
        </is>
      </c>
    </row>
    <row r="10">
      <c r="A10" s="9" t="inlineStr">
        <is>
          <t>Møteplan</t>
        </is>
      </c>
      <c r="B10" s="3" t="inlineStr">
        <is>
          <t>Agenda og tidsbruk for møtet.</t>
        </is>
      </c>
    </row>
    <row r="11">
      <c r="A11" s="9" t="inlineStr">
        <is>
          <t>Prosess</t>
        </is>
      </c>
      <c r="B11" s="3" t="inlineStr">
        <is>
          <t>HOVEDARK. Hva gjøres i dag, hvor ofte, hvor lang tid – og hvor mye kan automatiseres. Gir timer spart.</t>
        </is>
      </c>
    </row>
    <row r="12">
      <c r="A12" s="9" t="inlineStr">
        <is>
          <t>Kurstyper</t>
        </is>
      </c>
      <c r="B12" s="3" t="inlineStr">
        <is>
          <t>Volum: hvilke kurs, hvor mange, hvordan de faktureres. Brukes til å anslå frekvenser i Prosess.</t>
        </is>
      </c>
    </row>
    <row r="13">
      <c r="A13" s="9" t="inlineStr">
        <is>
          <t>Funksjoner</t>
        </is>
      </c>
      <c r="B13" s="3" t="inlineStr">
        <is>
          <t>Pindena-funksjoner og nye ønsker. Marker hva som brukes i dag og hva som er Må/Bør/Kan.</t>
        </is>
      </c>
    </row>
    <row r="14">
      <c r="A14" s="9" t="inlineStr">
        <is>
          <t>Integrasjoner</t>
        </is>
      </c>
      <c r="B14" s="3" t="inlineStr">
        <is>
          <t>Visma, SharePoint, e-post, Zoom, nettside … hva brukes, hvem eier, hva må avklares.</t>
        </is>
      </c>
    </row>
    <row r="15">
      <c r="A15" s="9" t="inlineStr">
        <is>
          <t>IT og drift</t>
        </is>
      </c>
      <c r="B15" s="3" t="inlineStr">
        <is>
          <t>Spørsmål til IT-tjenesten før bestilling.</t>
        </is>
      </c>
    </row>
    <row r="16">
      <c r="A16" s="9" t="inlineStr">
        <is>
          <t>Gevinst</t>
        </is>
      </c>
      <c r="B16" s="3" t="inlineStr">
        <is>
          <t>Oppsummering: timer spart per område, kroner, og sammenligning med dagens kostnad.</t>
        </is>
      </c>
    </row>
    <row r="18">
      <c r="A18" s="4" t="inlineStr">
        <is>
          <t>Eksempel (Prosess-arket)</t>
        </is>
      </c>
    </row>
    <row r="19">
      <c r="A19" s="3" t="inlineStr">
        <is>
          <t>Steg</t>
        </is>
      </c>
      <c r="B19" s="2" t="inlineStr">
        <is>
          <t>Sende bekreftelse på påmelding</t>
        </is>
      </c>
    </row>
    <row r="20">
      <c r="A20" s="3" t="inlineStr">
        <is>
          <t>Hvordan i dag</t>
        </is>
      </c>
      <c r="B20" s="2" t="inlineStr">
        <is>
          <t>Pindena sender automatisk, men adm sjekker og svarer manuelt på ca. 1 av 5</t>
        </is>
      </c>
    </row>
    <row r="21">
      <c r="A21" s="3" t="inlineStr">
        <is>
          <t>Antall per år</t>
        </is>
      </c>
      <c r="B21" s="2" t="inlineStr">
        <is>
          <t>400   (≈ antall påmeldinger)</t>
        </is>
      </c>
    </row>
    <row r="22">
      <c r="A22" s="3" t="inlineStr">
        <is>
          <t>Minutter per gang</t>
        </is>
      </c>
      <c r="B22" s="2" t="inlineStr">
        <is>
          <t>2   (gjennomsnitt, inkl. de som ikke krever noe)</t>
        </is>
      </c>
    </row>
    <row r="23">
      <c r="A23" s="3" t="inlineStr">
        <is>
          <t>Automatiseringsgrad</t>
        </is>
      </c>
      <c r="B23" s="2" t="inlineStr">
        <is>
          <t>100 %  → 400 × 2 / 60 = 13,3 timer spart per år</t>
        </is>
      </c>
    </row>
    <row r="24">
      <c r="A24" s="3" t="inlineStr">
        <is>
          <t>Smertepunkt</t>
        </is>
      </c>
      <c r="B24" s="2" t="inlineStr">
        <is>
          <t>Folk svarer på bekreftelsen med spørsmål som havner i adm sin innboks</t>
        </is>
      </c>
    </row>
    <row r="26">
      <c r="A26" s="4" t="inlineStr">
        <is>
          <t>Tips</t>
        </is>
      </c>
    </row>
    <row r="27">
      <c r="A27" s="9" t="inlineStr">
        <is>
          <t>Anslag holder</t>
        </is>
      </c>
      <c r="B27" s="3" t="inlineStr">
        <is>
          <t>Grove tall er bedre enn ingen tall. «10–15 minutter, ca. 30 ganger i året» er godt nok. Skriv usikkerhet i kommentarfeltet.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62" customWidth="1" min="4" max="4"/>
    <col width="22" customWidth="1" min="5" max="5"/>
  </cols>
  <sheetData>
    <row r="1">
      <c r="A1" s="1" t="inlineStr">
        <is>
          <t>Møteplan – kartlegging av kursadministrasjon</t>
        </is>
      </c>
    </row>
    <row r="2">
      <c r="A2" s="2" t="inlineStr">
        <is>
          <t>Ca. 2 timer. Deltakere: Jan + adm. Se også «Kartleggingsmøte – opplegg» (Word/markdown).</t>
        </is>
      </c>
    </row>
    <row r="4" ht="32" customHeight="1">
      <c r="A4" s="10" t="inlineStr">
        <is>
          <t>Nr</t>
        </is>
      </c>
      <c r="B4" s="10" t="inlineStr">
        <is>
          <t>Tema</t>
        </is>
      </c>
      <c r="C4" s="10" t="inlineStr">
        <is>
          <t>Min</t>
        </is>
      </c>
      <c r="D4" s="10" t="inlineStr">
        <is>
          <t>Mål / hva vi fyller ut</t>
        </is>
      </c>
      <c r="E4" s="10" t="inlineStr">
        <is>
          <t>Ark</t>
        </is>
      </c>
    </row>
    <row r="5">
      <c r="A5" s="11" t="n">
        <v>0</v>
      </c>
      <c r="B5" s="11" t="inlineStr">
        <is>
          <t>Rammer og mål</t>
        </is>
      </c>
      <c r="C5" s="11" t="n">
        <v>10</v>
      </c>
      <c r="D5" s="11" t="inlineStr">
        <is>
          <t>Hvorfor vi gjør dette, hva som skal ut av møtet, at ingenting er bestemt ennå.</t>
        </is>
      </c>
      <c r="E5" s="11" t="inlineStr">
        <is>
          <t>–</t>
        </is>
      </c>
    </row>
    <row r="6">
      <c r="A6" s="11" t="n">
        <v>1</v>
      </c>
      <c r="B6" s="11" t="inlineStr">
        <is>
          <t>Følg ett kurs fra idé til avsluttet</t>
        </is>
      </c>
      <c r="C6" s="11" t="n">
        <v>35</v>
      </c>
      <c r="D6" s="11" t="inlineStr">
        <is>
          <t>Gå gjennom et konkret, nylig kurs steg for steg. Hva gjøres, i hvilket verktøy, hvor lang tid, hva irriterer.</t>
        </is>
      </c>
      <c r="E6" s="11" t="inlineStr">
        <is>
          <t>Prosess</t>
        </is>
      </c>
    </row>
    <row r="7">
      <c r="A7" s="11" t="n">
        <v>2</v>
      </c>
      <c r="B7" s="11" t="inlineStr">
        <is>
          <t>Kurstyper og volum</t>
        </is>
      </c>
      <c r="C7" s="11" t="n">
        <v>10</v>
      </c>
      <c r="D7" s="11" t="inlineStr">
        <is>
          <t>Hvilke kursformer finnes, antall per år, deltakere, fakturering per person/samlet.</t>
        </is>
      </c>
      <c r="E7" s="11" t="inlineStr">
        <is>
          <t>Kurstyper</t>
        </is>
      </c>
    </row>
    <row r="8">
      <c r="A8" s="11" t="n">
        <v>3</v>
      </c>
      <c r="B8" s="11" t="inlineStr">
        <is>
          <t>Funksjoner – bruk og behov</t>
        </is>
      </c>
      <c r="C8" s="11" t="n">
        <v>20</v>
      </c>
      <c r="D8" s="11" t="inlineStr">
        <is>
          <t>Hva brukes i Pindena i dag, hva savnes, hva er Må/Bør/Kan.</t>
        </is>
      </c>
      <c r="E8" s="11" t="inlineStr">
        <is>
          <t>Funksjoner</t>
        </is>
      </c>
    </row>
    <row r="9">
      <c r="A9" s="11" t="n">
        <v>4</v>
      </c>
      <c r="B9" s="11" t="inlineStr">
        <is>
          <t>Demo av prototypen</t>
        </is>
      </c>
      <c r="C9" s="11" t="n">
        <v>15</v>
      </c>
      <c r="D9" s="11" t="inlineStr">
        <is>
          <t>Vis påmelding → bekreftelse → faktura → QR-innsjekk → Min side → admin. Noter reaksjoner.</t>
        </is>
      </c>
      <c r="E9" s="11" t="inlineStr">
        <is>
          <t>Funksjoner (kommentar)</t>
        </is>
      </c>
    </row>
    <row r="10">
      <c r="A10" s="11" t="n">
        <v>5</v>
      </c>
      <c r="B10" s="11" t="inlineStr">
        <is>
          <t>Integrasjoner og IT</t>
        </is>
      </c>
      <c r="C10" s="11" t="n">
        <v>15</v>
      </c>
      <c r="D10" s="11" t="inlineStr">
        <is>
          <t>Visma-produkt, SharePoint-struktur, e-postkonto, Zoom, nettside. Hvem i IT kontaktes?</t>
        </is>
      </c>
      <c r="E10" s="11" t="inlineStr">
        <is>
          <t>Integrasjoner, IT og drift</t>
        </is>
      </c>
    </row>
    <row r="11">
      <c r="A11" s="11" t="n">
        <v>6</v>
      </c>
      <c r="B11" s="11" t="inlineStr">
        <is>
          <t>Rolle: vedlikehold med Claude Code</t>
        </is>
      </c>
      <c r="C11" s="11" t="n">
        <v>10</v>
      </c>
      <c r="D11" s="11" t="inlineStr">
        <is>
          <t>Interesse, tid per uke, opplæringsbehov, hvem er backup.</t>
        </is>
      </c>
      <c r="E11" s="11" t="inlineStr">
        <is>
          <t>–</t>
        </is>
      </c>
    </row>
    <row r="12">
      <c r="A12" s="11" t="n">
        <v>7</v>
      </c>
      <c r="B12" s="11" t="inlineStr">
        <is>
          <t>Grov gevinst og neste steg</t>
        </is>
      </c>
      <c r="C12" s="11" t="n">
        <v>10</v>
      </c>
      <c r="D12" s="11" t="inlineStr">
        <is>
          <t>Se over gevinstarket. Avtal hvem fyller ut resten, frist, og neste møte.</t>
        </is>
      </c>
      <c r="E12" s="11" t="inlineStr">
        <is>
          <t>Gevinst</t>
        </is>
      </c>
    </row>
    <row r="13">
      <c r="B13" s="12" t="inlineStr">
        <is>
          <t>Totalt</t>
        </is>
      </c>
      <c r="C13" s="12">
        <f>SUM(C5:C12)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6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34" customWidth="1" min="12" max="12"/>
    <col width="10" customWidth="1" min="13" max="13"/>
  </cols>
  <sheetData>
    <row r="1">
      <c r="A1" s="1" t="inlineStr">
        <is>
          <t>Prosesskartlegging – slik gjøres det i dag</t>
        </is>
      </c>
    </row>
    <row r="2">
      <c r="A2" s="2" t="inlineStr">
        <is>
          <t>Fyll inn gule kolonner. Timer/år og timer spart regnes automatisk. Automatiseringsgrad: grå = forslag, gul = deres vurdering (overstyrer).</t>
        </is>
      </c>
    </row>
    <row r="4" ht="32" customHeight="1">
      <c r="A4" s="10" t="inlineStr">
        <is>
          <t>Område</t>
        </is>
      </c>
      <c r="B4" s="10" t="inlineStr">
        <is>
          <t>Steg</t>
        </is>
      </c>
      <c r="C4" s="10" t="inlineStr">
        <is>
          <t>Hvordan i dag (verktøy, hvem)</t>
        </is>
      </c>
      <c r="D4" s="10" t="inlineStr">
        <is>
          <t>Hvem gjør det</t>
        </is>
      </c>
      <c r="E4" s="10" t="inlineStr">
        <is>
          <t>Antall per år</t>
        </is>
      </c>
      <c r="F4" s="10" t="inlineStr">
        <is>
          <t>Min per gang</t>
        </is>
      </c>
      <c r="G4" s="10" t="inlineStr">
        <is>
          <t>Timer per år</t>
        </is>
      </c>
      <c r="H4" s="10" t="inlineStr">
        <is>
          <t>Forslag autom.</t>
        </is>
      </c>
      <c r="I4" s="10" t="inlineStr">
        <is>
          <t>Deres autom.</t>
        </is>
      </c>
      <c r="J4" s="10" t="inlineStr">
        <is>
          <t>Timer spart/år</t>
        </is>
      </c>
      <c r="K4" s="10" t="inlineStr">
        <is>
          <t>Løses i prototypen?</t>
        </is>
      </c>
      <c r="L4" s="10" t="inlineStr">
        <is>
          <t>Smertepunkt / kommentar</t>
        </is>
      </c>
      <c r="M4" s="10" t="inlineStr">
        <is>
          <t>Prioritet</t>
        </is>
      </c>
    </row>
    <row r="5">
      <c r="A5" s="11" t="inlineStr">
        <is>
          <t>Kursoppsett</t>
        </is>
      </c>
      <c r="B5" s="11" t="inlineStr">
        <is>
          <t>Opprette kurs (datoer, pris, sted, kapasitet)</t>
        </is>
      </c>
      <c r="C5" s="13" t="n"/>
      <c r="D5" s="13" t="n"/>
      <c r="E5" s="14" t="n"/>
      <c r="F5" s="14" t="n"/>
      <c r="G5" s="15">
        <f>IF(AND(ISNUMBER(E5),ISNUMBER(F5)),E5*F5/60,0)</f>
        <v/>
      </c>
      <c r="H5" s="16" t="n">
        <v>0.5</v>
      </c>
      <c r="I5" s="17" t="n"/>
      <c r="J5" s="15">
        <f>G5*IF(ISNUMBER(I5),I5,IF(ISNUMBER(H5),H5,0))</f>
        <v/>
      </c>
      <c r="K5" s="18" t="inlineStr">
        <is>
          <t>Ja</t>
        </is>
      </c>
      <c r="L5" s="13" t="n"/>
      <c r="M5" s="13" t="n"/>
    </row>
    <row r="6">
      <c r="A6" s="11" t="inlineStr">
        <is>
          <t>Kursoppsett</t>
        </is>
      </c>
      <c r="B6" s="11" t="inlineStr">
        <is>
          <t>Publisere kurs og påmeldingsskjema på nettsiden</t>
        </is>
      </c>
      <c r="C6" s="13" t="n"/>
      <c r="D6" s="13" t="n"/>
      <c r="E6" s="14" t="n"/>
      <c r="F6" s="14" t="n"/>
      <c r="G6" s="15">
        <f>IF(AND(ISNUMBER(E6),ISNUMBER(F6)),E6*F6/60,0)</f>
        <v/>
      </c>
      <c r="H6" s="16" t="n">
        <v>0.75</v>
      </c>
      <c r="I6" s="17" t="n"/>
      <c r="J6" s="15">
        <f>G6*IF(ISNUMBER(I6),I6,IF(ISNUMBER(H6),H6,0))</f>
        <v/>
      </c>
      <c r="K6" s="18" t="inlineStr">
        <is>
          <t>Ja</t>
        </is>
      </c>
      <c r="L6" s="13" t="n"/>
      <c r="M6" s="13" t="n"/>
    </row>
    <row r="7">
      <c r="A7" s="11" t="inlineStr">
        <is>
          <t>Kursoppsett</t>
        </is>
      </c>
      <c r="B7" s="11" t="inlineStr">
        <is>
          <t>Bestille lokale og catering</t>
        </is>
      </c>
      <c r="C7" s="13" t="n"/>
      <c r="D7" s="13" t="n"/>
      <c r="E7" s="14" t="n"/>
      <c r="F7" s="14" t="n"/>
      <c r="G7" s="15">
        <f>IF(AND(ISNUMBER(E7),ISNUMBER(F7)),E7*F7/60,0)</f>
        <v/>
      </c>
      <c r="H7" s="16" t="n">
        <v>0.25</v>
      </c>
      <c r="I7" s="17" t="n"/>
      <c r="J7" s="15">
        <f>G7*IF(ISNUMBER(I7),I7,IF(ISNUMBER(H7),H7,0))</f>
        <v/>
      </c>
      <c r="K7" s="18" t="inlineStr">
        <is>
          <t>Nei</t>
        </is>
      </c>
      <c r="L7" s="13" t="n"/>
      <c r="M7" s="13" t="n"/>
    </row>
    <row r="8">
      <c r="A8" s="11" t="inlineStr">
        <is>
          <t>Kursoppsett</t>
        </is>
      </c>
      <c r="B8" s="11" t="inlineStr">
        <is>
          <t>Avtale med kursholder (oppdrag, honorar)</t>
        </is>
      </c>
      <c r="C8" s="13" t="n"/>
      <c r="D8" s="13" t="n"/>
      <c r="E8" s="14" t="n"/>
      <c r="F8" s="14" t="n"/>
      <c r="G8" s="15">
        <f>IF(AND(ISNUMBER(E8),ISNUMBER(F8)),E8*F8/60,0)</f>
        <v/>
      </c>
      <c r="H8" s="16" t="n">
        <v>0.25</v>
      </c>
      <c r="I8" s="17" t="n"/>
      <c r="J8" s="15">
        <f>G8*IF(ISNUMBER(I8),I8,IF(ISNUMBER(H8),H8,0))</f>
        <v/>
      </c>
      <c r="K8" s="18" t="inlineStr">
        <is>
          <t>Nei</t>
        </is>
      </c>
      <c r="L8" s="13" t="n"/>
      <c r="M8" s="13" t="n"/>
    </row>
    <row r="9">
      <c r="A9" s="11" t="inlineStr">
        <is>
          <t>Påmelding</t>
        </is>
      </c>
      <c r="B9" s="11" t="inlineStr">
        <is>
          <t>Motta og registrere påmeldinger</t>
        </is>
      </c>
      <c r="C9" s="13" t="n"/>
      <c r="D9" s="13" t="n"/>
      <c r="E9" s="14" t="n"/>
      <c r="F9" s="14" t="n"/>
      <c r="G9" s="15">
        <f>IF(AND(ISNUMBER(E9),ISNUMBER(F9)),E9*F9/60,0)</f>
        <v/>
      </c>
      <c r="H9" s="16" t="n">
        <v>1</v>
      </c>
      <c r="I9" s="17" t="n"/>
      <c r="J9" s="15">
        <f>G9*IF(ISNUMBER(I9),I9,IF(ISNUMBER(H9),H9,0))</f>
        <v/>
      </c>
      <c r="K9" s="18" t="inlineStr">
        <is>
          <t>Ja</t>
        </is>
      </c>
      <c r="L9" s="13" t="n"/>
      <c r="M9" s="13" t="n"/>
    </row>
    <row r="10">
      <c r="A10" s="11" t="inlineStr">
        <is>
          <t>Påmelding</t>
        </is>
      </c>
      <c r="B10" s="11" t="inlineStr">
        <is>
          <t>Svare på spørsmål før påmelding</t>
        </is>
      </c>
      <c r="C10" s="13" t="n"/>
      <c r="D10" s="13" t="n"/>
      <c r="E10" s="14" t="n"/>
      <c r="F10" s="14" t="n"/>
      <c r="G10" s="15">
        <f>IF(AND(ISNUMBER(E10),ISNUMBER(F10)),E10*F10/60,0)</f>
        <v/>
      </c>
      <c r="H10" s="16" t="n">
        <v>0.5</v>
      </c>
      <c r="I10" s="17" t="n"/>
      <c r="J10" s="15">
        <f>G10*IF(ISNUMBER(I10),I10,IF(ISNUMBER(H10),H10,0))</f>
        <v/>
      </c>
      <c r="K10" s="18" t="inlineStr">
        <is>
          <t>Delvis</t>
        </is>
      </c>
      <c r="L10" s="13" t="n"/>
      <c r="M10" s="13" t="n"/>
    </row>
    <row r="11">
      <c r="A11" s="11" t="inlineStr">
        <is>
          <t>Påmelding</t>
        </is>
      </c>
      <c r="B11" s="11" t="inlineStr">
        <is>
          <t>Håndtere venteliste</t>
        </is>
      </c>
      <c r="C11" s="13" t="n"/>
      <c r="D11" s="13" t="n"/>
      <c r="E11" s="14" t="n"/>
      <c r="F11" s="14" t="n"/>
      <c r="G11" s="15">
        <f>IF(AND(ISNUMBER(E11),ISNUMBER(F11)),E11*F11/60,0)</f>
        <v/>
      </c>
      <c r="H11" s="16" t="n">
        <v>1</v>
      </c>
      <c r="I11" s="17" t="n"/>
      <c r="J11" s="15">
        <f>G11*IF(ISNUMBER(I11),I11,IF(ISNUMBER(H11),H11,0))</f>
        <v/>
      </c>
      <c r="K11" s="18" t="inlineStr">
        <is>
          <t>Ja</t>
        </is>
      </c>
      <c r="L11" s="13" t="n"/>
      <c r="M11" s="13" t="n"/>
    </row>
    <row r="12">
      <c r="A12" s="11" t="inlineStr">
        <is>
          <t>Påmelding</t>
        </is>
      </c>
      <c r="B12" s="11" t="inlineStr">
        <is>
          <t>Avmeldinger og endringer</t>
        </is>
      </c>
      <c r="C12" s="13" t="n"/>
      <c r="D12" s="13" t="n"/>
      <c r="E12" s="14" t="n"/>
      <c r="F12" s="14" t="n"/>
      <c r="G12" s="15">
        <f>IF(AND(ISNUMBER(E12),ISNUMBER(F12)),E12*F12/60,0)</f>
        <v/>
      </c>
      <c r="H12" s="16" t="n">
        <v>0.75</v>
      </c>
      <c r="I12" s="17" t="n"/>
      <c r="J12" s="15">
        <f>G12*IF(ISNUMBER(I12),I12,IF(ISNUMBER(H12),H12,0))</f>
        <v/>
      </c>
      <c r="K12" s="18" t="inlineStr">
        <is>
          <t>Delvis</t>
        </is>
      </c>
      <c r="L12" s="13" t="n"/>
      <c r="M12" s="13" t="n"/>
    </row>
    <row r="13">
      <c r="A13" s="11" t="inlineStr">
        <is>
          <t>Påmelding</t>
        </is>
      </c>
      <c r="B13" s="11" t="inlineStr">
        <is>
          <t>Sende bekreftelse</t>
        </is>
      </c>
      <c r="C13" s="13" t="n"/>
      <c r="D13" s="13" t="n"/>
      <c r="E13" s="14" t="n"/>
      <c r="F13" s="14" t="n"/>
      <c r="G13" s="15">
        <f>IF(AND(ISNUMBER(E13),ISNUMBER(F13)),E13*F13/60,0)</f>
        <v/>
      </c>
      <c r="H13" s="16" t="n">
        <v>1</v>
      </c>
      <c r="I13" s="17" t="n"/>
      <c r="J13" s="15">
        <f>G13*IF(ISNUMBER(I13),I13,IF(ISNUMBER(H13),H13,0))</f>
        <v/>
      </c>
      <c r="K13" s="18" t="inlineStr">
        <is>
          <t>Ja</t>
        </is>
      </c>
      <c r="L13" s="13" t="n"/>
      <c r="M13" s="13" t="n"/>
    </row>
    <row r="14">
      <c r="A14" s="11" t="inlineStr">
        <is>
          <t>Fakturering</t>
        </is>
      </c>
      <c r="B14" s="11" t="inlineStr">
        <is>
          <t>Opprette faktura per deltaker</t>
        </is>
      </c>
      <c r="C14" s="13" t="n"/>
      <c r="D14" s="13" t="n"/>
      <c r="E14" s="14" t="n"/>
      <c r="F14" s="14" t="n"/>
      <c r="G14" s="15">
        <f>IF(AND(ISNUMBER(E14),ISNUMBER(F14)),E14*F14/60,0)</f>
        <v/>
      </c>
      <c r="H14" s="16" t="n">
        <v>1</v>
      </c>
      <c r="I14" s="17" t="n"/>
      <c r="J14" s="15">
        <f>G14*IF(ISNUMBER(I14),I14,IF(ISNUMBER(H14),H14,0))</f>
        <v/>
      </c>
      <c r="K14" s="18" t="inlineStr">
        <is>
          <t>Ja</t>
        </is>
      </c>
      <c r="L14" s="13" t="n"/>
      <c r="M14" s="13" t="n"/>
    </row>
    <row r="15">
      <c r="A15" s="11" t="inlineStr">
        <is>
          <t>Fakturering</t>
        </is>
      </c>
      <c r="B15" s="11" t="inlineStr">
        <is>
          <t>Samlefaktura til organisasjon</t>
        </is>
      </c>
      <c r="C15" s="13" t="n"/>
      <c r="D15" s="13" t="n"/>
      <c r="E15" s="14" t="n"/>
      <c r="F15" s="14" t="n"/>
      <c r="G15" s="15">
        <f>IF(AND(ISNUMBER(E15),ISNUMBER(F15)),E15*F15/60,0)</f>
        <v/>
      </c>
      <c r="H15" s="16" t="n">
        <v>0.5</v>
      </c>
      <c r="I15" s="17" t="n"/>
      <c r="J15" s="15">
        <f>G15*IF(ISNUMBER(I15),I15,IF(ISNUMBER(H15),H15,0))</f>
        <v/>
      </c>
      <c r="K15" s="18" t="inlineStr">
        <is>
          <t>Nei</t>
        </is>
      </c>
      <c r="L15" s="13" t="n"/>
      <c r="M15" s="13" t="n"/>
    </row>
    <row r="16">
      <c r="A16" s="11" t="inlineStr">
        <is>
          <t>Fakturering</t>
        </is>
      </c>
      <c r="B16" s="11" t="inlineStr">
        <is>
          <t>Kreditnota ved avmelding</t>
        </is>
      </c>
      <c r="C16" s="13" t="n"/>
      <c r="D16" s="13" t="n"/>
      <c r="E16" s="14" t="n"/>
      <c r="F16" s="14" t="n"/>
      <c r="G16" s="15">
        <f>IF(AND(ISNUMBER(E16),ISNUMBER(F16)),E16*F16/60,0)</f>
        <v/>
      </c>
      <c r="H16" s="16" t="n">
        <v>0.5</v>
      </c>
      <c r="I16" s="17" t="n"/>
      <c r="J16" s="15">
        <f>G16*IF(ISNUMBER(I16),I16,IF(ISNUMBER(H16),H16,0))</f>
        <v/>
      </c>
      <c r="K16" s="18" t="inlineStr">
        <is>
          <t>Nei</t>
        </is>
      </c>
      <c r="L16" s="13" t="n"/>
      <c r="M16" s="13" t="n"/>
    </row>
    <row r="17">
      <c r="A17" s="11" t="inlineStr">
        <is>
          <t>Fakturering</t>
        </is>
      </c>
      <c r="B17" s="11" t="inlineStr">
        <is>
          <t>Purre ubetalte fakturaer</t>
        </is>
      </c>
      <c r="C17" s="13" t="n"/>
      <c r="D17" s="13" t="n"/>
      <c r="E17" s="14" t="n"/>
      <c r="F17" s="14" t="n"/>
      <c r="G17" s="15">
        <f>IF(AND(ISNUMBER(E17),ISNUMBER(F17)),E17*F17/60,0)</f>
        <v/>
      </c>
      <c r="H17" s="16" t="n">
        <v>0.75</v>
      </c>
      <c r="I17" s="17" t="n"/>
      <c r="J17" s="15">
        <f>G17*IF(ISNUMBER(I17),I17,IF(ISNUMBER(H17),H17,0))</f>
        <v/>
      </c>
      <c r="K17" s="18" t="inlineStr">
        <is>
          <t>Nei</t>
        </is>
      </c>
      <c r="L17" s="13" t="n"/>
      <c r="M17" s="13" t="n"/>
    </row>
    <row r="18">
      <c r="A18" s="11" t="inlineStr">
        <is>
          <t>Fakturering</t>
        </is>
      </c>
      <c r="B18" s="11" t="inlineStr">
        <is>
          <t>Avstemme betalt / ikke betalt</t>
        </is>
      </c>
      <c r="C18" s="13" t="n"/>
      <c r="D18" s="13" t="n"/>
      <c r="E18" s="14" t="n"/>
      <c r="F18" s="14" t="n"/>
      <c r="G18" s="15">
        <f>IF(AND(ISNUMBER(E18),ISNUMBER(F18)),E18*F18/60,0)</f>
        <v/>
      </c>
      <c r="H18" s="16" t="n">
        <v>0.75</v>
      </c>
      <c r="I18" s="17" t="n"/>
      <c r="J18" s="15">
        <f>G18*IF(ISNUMBER(I18),I18,IF(ISNUMBER(H18),H18,0))</f>
        <v/>
      </c>
      <c r="K18" s="18" t="inlineStr">
        <is>
          <t>Delvis</t>
        </is>
      </c>
      <c r="L18" s="13" t="n"/>
      <c r="M18" s="13" t="n"/>
    </row>
    <row r="19">
      <c r="A19" s="11" t="inlineStr">
        <is>
          <t>Kommunikasjon</t>
        </is>
      </c>
      <c r="B19" s="11" t="inlineStr">
        <is>
          <t>Velkomst og praktisk info før kurset</t>
        </is>
      </c>
      <c r="C19" s="13" t="n"/>
      <c r="D19" s="13" t="n"/>
      <c r="E19" s="14" t="n"/>
      <c r="F19" s="14" t="n"/>
      <c r="G19" s="15">
        <f>IF(AND(ISNUMBER(E19),ISNUMBER(F19)),E19*F19/60,0)</f>
        <v/>
      </c>
      <c r="H19" s="16" t="n">
        <v>1</v>
      </c>
      <c r="I19" s="17" t="n"/>
      <c r="J19" s="15">
        <f>G19*IF(ISNUMBER(I19),I19,IF(ISNUMBER(H19),H19,0))</f>
        <v/>
      </c>
      <c r="K19" s="18" t="inlineStr">
        <is>
          <t>Ja</t>
        </is>
      </c>
      <c r="L19" s="13" t="n"/>
      <c r="M19" s="13" t="n"/>
    </row>
    <row r="20">
      <c r="A20" s="11" t="inlineStr">
        <is>
          <t>Kommunikasjon</t>
        </is>
      </c>
      <c r="B20" s="11" t="inlineStr">
        <is>
          <t>Zoom-lenker og påminnelser før hver kursdag</t>
        </is>
      </c>
      <c r="C20" s="13" t="n"/>
      <c r="D20" s="13" t="n"/>
      <c r="E20" s="14" t="n"/>
      <c r="F20" s="14" t="n"/>
      <c r="G20" s="15">
        <f>IF(AND(ISNUMBER(E20),ISNUMBER(F20)),E20*F20/60,0)</f>
        <v/>
      </c>
      <c r="H20" s="16" t="n">
        <v>1</v>
      </c>
      <c r="I20" s="17" t="n"/>
      <c r="J20" s="15">
        <f>G20*IF(ISNUMBER(I20),I20,IF(ISNUMBER(H20),H20,0))</f>
        <v/>
      </c>
      <c r="K20" s="18" t="inlineStr">
        <is>
          <t>Ja</t>
        </is>
      </c>
      <c r="L20" s="13" t="n"/>
      <c r="M20" s="13" t="n"/>
    </row>
    <row r="21">
      <c r="A21" s="11" t="inlineStr">
        <is>
          <t>Kommunikasjon</t>
        </is>
      </c>
      <c r="B21" s="11" t="inlineStr">
        <is>
          <t>Beskjed ved endringer (tid, rom, avlysning)</t>
        </is>
      </c>
      <c r="C21" s="13" t="n"/>
      <c r="D21" s="13" t="n"/>
      <c r="E21" s="14" t="n"/>
      <c r="F21" s="14" t="n"/>
      <c r="G21" s="15">
        <f>IF(AND(ISNUMBER(E21),ISNUMBER(F21)),E21*F21/60,0)</f>
        <v/>
      </c>
      <c r="H21" s="16" t="n">
        <v>0.5</v>
      </c>
      <c r="I21" s="17" t="n"/>
      <c r="J21" s="15">
        <f>G21*IF(ISNUMBER(I21),I21,IF(ISNUMBER(H21),H21,0))</f>
        <v/>
      </c>
      <c r="K21" s="18" t="inlineStr">
        <is>
          <t>Nei</t>
        </is>
      </c>
      <c r="L21" s="13" t="n"/>
      <c r="M21" s="13" t="n"/>
    </row>
    <row r="22">
      <c r="A22" s="11" t="inlineStr">
        <is>
          <t>Kommunikasjon</t>
        </is>
      </c>
      <c r="B22" s="11" t="inlineStr">
        <is>
          <t>Svare på praktiske spørsmål underveis</t>
        </is>
      </c>
      <c r="C22" s="13" t="n"/>
      <c r="D22" s="13" t="n"/>
      <c r="E22" s="14" t="n"/>
      <c r="F22" s="14" t="n"/>
      <c r="G22" s="15">
        <f>IF(AND(ISNUMBER(E22),ISNUMBER(F22)),E22*F22/60,0)</f>
        <v/>
      </c>
      <c r="H22" s="16" t="n">
        <v>0.5</v>
      </c>
      <c r="I22" s="17" t="n"/>
      <c r="J22" s="15">
        <f>G22*IF(ISNUMBER(I22),I22,IF(ISNUMBER(H22),H22,0))</f>
        <v/>
      </c>
      <c r="K22" s="18" t="inlineStr">
        <is>
          <t>Nei</t>
        </is>
      </c>
      <c r="L22" s="13" t="n"/>
      <c r="M22" s="13" t="n"/>
    </row>
    <row r="23">
      <c r="A23" s="11" t="inlineStr">
        <is>
          <t>Materiell</t>
        </is>
      </c>
      <c r="B23" s="11" t="inlineStr">
        <is>
          <t>Purre kursholdere på presentasjoner</t>
        </is>
      </c>
      <c r="C23" s="13" t="n"/>
      <c r="D23" s="13" t="n"/>
      <c r="E23" s="14" t="n"/>
      <c r="F23" s="14" t="n"/>
      <c r="G23" s="15">
        <f>IF(AND(ISNUMBER(E23),ISNUMBER(F23)),E23*F23/60,0)</f>
        <v/>
      </c>
      <c r="H23" s="16" t="n">
        <v>1</v>
      </c>
      <c r="I23" s="17" t="n"/>
      <c r="J23" s="15">
        <f>G23*IF(ISNUMBER(I23),I23,IF(ISNUMBER(H23),H23,0))</f>
        <v/>
      </c>
      <c r="K23" s="18" t="inlineStr">
        <is>
          <t>Ja</t>
        </is>
      </c>
      <c r="L23" s="13" t="n"/>
      <c r="M23" s="13" t="n"/>
    </row>
    <row r="24">
      <c r="A24" s="11" t="inlineStr">
        <is>
          <t>Materiell</t>
        </is>
      </c>
      <c r="B24" s="11" t="inlineStr">
        <is>
          <t>Distribuere presentasjoner til deltakere</t>
        </is>
      </c>
      <c r="C24" s="13" t="n"/>
      <c r="D24" s="13" t="n"/>
      <c r="E24" s="14" t="n"/>
      <c r="F24" s="14" t="n"/>
      <c r="G24" s="15">
        <f>IF(AND(ISNUMBER(E24),ISNUMBER(F24)),E24*F24/60,0)</f>
        <v/>
      </c>
      <c r="H24" s="16" t="n">
        <v>1</v>
      </c>
      <c r="I24" s="17" t="n"/>
      <c r="J24" s="15">
        <f>G24*IF(ISNUMBER(I24),I24,IF(ISNUMBER(H24),H24,0))</f>
        <v/>
      </c>
      <c r="K24" s="18" t="inlineStr">
        <is>
          <t>Ja</t>
        </is>
      </c>
      <c r="L24" s="13" t="n"/>
      <c r="M24" s="13" t="n"/>
    </row>
    <row r="25">
      <c r="A25" s="11" t="inlineStr">
        <is>
          <t>Materiell</t>
        </is>
      </c>
      <c r="B25" s="11" t="inlineStr">
        <is>
          <t>Kontrakter spesialistkandidater (lage, signere, arkivere)</t>
        </is>
      </c>
      <c r="C25" s="13" t="n"/>
      <c r="D25" s="13" t="n"/>
      <c r="E25" s="14" t="n"/>
      <c r="F25" s="14" t="n"/>
      <c r="G25" s="15">
        <f>IF(AND(ISNUMBER(E25),ISNUMBER(F25)),E25*F25/60,0)</f>
        <v/>
      </c>
      <c r="H25" s="16" t="n">
        <v>0.5</v>
      </c>
      <c r="I25" s="17" t="n"/>
      <c r="J25" s="15">
        <f>G25*IF(ISNUMBER(I25),I25,IF(ISNUMBER(H25),H25,0))</f>
        <v/>
      </c>
      <c r="K25" s="18" t="inlineStr">
        <is>
          <t>Delvis</t>
        </is>
      </c>
      <c r="L25" s="13" t="n"/>
      <c r="M25" s="13" t="n"/>
    </row>
    <row r="26">
      <c r="A26" s="11" t="inlineStr">
        <is>
          <t>Gjennomføring</t>
        </is>
      </c>
      <c r="B26" s="11" t="inlineStr">
        <is>
          <t>Opprette Zoom-møter</t>
        </is>
      </c>
      <c r="C26" s="13" t="n"/>
      <c r="D26" s="13" t="n"/>
      <c r="E26" s="14" t="n"/>
      <c r="F26" s="14" t="n"/>
      <c r="G26" s="15">
        <f>IF(AND(ISNUMBER(E26),ISNUMBER(F26)),E26*F26/60,0)</f>
        <v/>
      </c>
      <c r="H26" s="16" t="n">
        <v>1</v>
      </c>
      <c r="I26" s="17" t="n"/>
      <c r="J26" s="15">
        <f>G26*IF(ISNUMBER(I26),I26,IF(ISNUMBER(H26),H26,0))</f>
        <v/>
      </c>
      <c r="K26" s="18" t="inlineStr">
        <is>
          <t>Ja</t>
        </is>
      </c>
      <c r="L26" s="13" t="n"/>
      <c r="M26" s="13" t="n"/>
    </row>
    <row r="27">
      <c r="A27" s="11" t="inlineStr">
        <is>
          <t>Gjennomføring</t>
        </is>
      </c>
      <c r="B27" s="11" t="inlineStr">
        <is>
          <t>Deltakerlister og navneskilt</t>
        </is>
      </c>
      <c r="C27" s="13" t="n"/>
      <c r="D27" s="13" t="n"/>
      <c r="E27" s="14" t="n"/>
      <c r="F27" s="14" t="n"/>
      <c r="G27" s="15">
        <f>IF(AND(ISNUMBER(E27),ISNUMBER(F27)),E27*F27/60,0)</f>
        <v/>
      </c>
      <c r="H27" s="16" t="n">
        <v>0.75</v>
      </c>
      <c r="I27" s="17" t="n"/>
      <c r="J27" s="15">
        <f>G27*IF(ISNUMBER(I27),I27,IF(ISNUMBER(H27),H27,0))</f>
        <v/>
      </c>
      <c r="K27" s="18" t="inlineStr">
        <is>
          <t>Delvis</t>
        </is>
      </c>
      <c r="L27" s="13" t="n"/>
      <c r="M27" s="13" t="n"/>
    </row>
    <row r="28">
      <c r="A28" s="11" t="inlineStr">
        <is>
          <t>Gjennomføring</t>
        </is>
      </c>
      <c r="B28" s="11" t="inlineStr">
        <is>
          <t>Registrere oppmøte</t>
        </is>
      </c>
      <c r="C28" s="13" t="n"/>
      <c r="D28" s="13" t="n"/>
      <c r="E28" s="14" t="n"/>
      <c r="F28" s="14" t="n"/>
      <c r="G28" s="15">
        <f>IF(AND(ISNUMBER(E28),ISNUMBER(F28)),E28*F28/60,0)</f>
        <v/>
      </c>
      <c r="H28" s="16" t="n">
        <v>0.75</v>
      </c>
      <c r="I28" s="17" t="n"/>
      <c r="J28" s="15">
        <f>G28*IF(ISNUMBER(I28),I28,IF(ISNUMBER(H28),H28,0))</f>
        <v/>
      </c>
      <c r="K28" s="18" t="inlineStr">
        <is>
          <t>Ja</t>
        </is>
      </c>
      <c r="L28" s="13" t="n"/>
      <c r="M28" s="13" t="n"/>
    </row>
    <row r="29">
      <c r="A29" s="11" t="inlineStr">
        <is>
          <t>Gjennomføring</t>
        </is>
      </c>
      <c r="B29" s="11" t="inlineStr">
        <is>
          <t>Allergi-/tilretteleggingsliste til catering</t>
        </is>
      </c>
      <c r="C29" s="13" t="n"/>
      <c r="D29" s="13" t="n"/>
      <c r="E29" s="14" t="n"/>
      <c r="F29" s="14" t="n"/>
      <c r="G29" s="15">
        <f>IF(AND(ISNUMBER(E29),ISNUMBER(F29)),E29*F29/60,0)</f>
        <v/>
      </c>
      <c r="H29" s="16" t="n">
        <v>1</v>
      </c>
      <c r="I29" s="17" t="n"/>
      <c r="J29" s="15">
        <f>G29*IF(ISNUMBER(I29),I29,IF(ISNUMBER(H29),H29,0))</f>
        <v/>
      </c>
      <c r="K29" s="18" t="inlineStr">
        <is>
          <t>Ja</t>
        </is>
      </c>
      <c r="L29" s="13" t="n"/>
      <c r="M29" s="13" t="n"/>
    </row>
    <row r="30">
      <c r="A30" s="11" t="inlineStr">
        <is>
          <t>Etterarbeid</t>
        </is>
      </c>
      <c r="B30" s="11" t="inlineStr">
        <is>
          <t>Lage og sende kursbevis</t>
        </is>
      </c>
      <c r="C30" s="13" t="n"/>
      <c r="D30" s="13" t="n"/>
      <c r="E30" s="14" t="n"/>
      <c r="F30" s="14" t="n"/>
      <c r="G30" s="15">
        <f>IF(AND(ISNUMBER(E30),ISNUMBER(F30)),E30*F30/60,0)</f>
        <v/>
      </c>
      <c r="H30" s="16" t="n">
        <v>1</v>
      </c>
      <c r="I30" s="17" t="n"/>
      <c r="J30" s="15">
        <f>G30*IF(ISNUMBER(I30),I30,IF(ISNUMBER(H30),H30,0))</f>
        <v/>
      </c>
      <c r="K30" s="18" t="inlineStr">
        <is>
          <t>Ja</t>
        </is>
      </c>
      <c r="L30" s="13" t="n"/>
      <c r="M30" s="13" t="n"/>
    </row>
    <row r="31">
      <c r="A31" s="11" t="inlineStr">
        <is>
          <t>Etterarbeid</t>
        </is>
      </c>
      <c r="B31" s="11" t="inlineStr">
        <is>
          <t>Timeoversikt spesialistløp</t>
        </is>
      </c>
      <c r="C31" s="13" t="n"/>
      <c r="D31" s="13" t="n"/>
      <c r="E31" s="14" t="n"/>
      <c r="F31" s="14" t="n"/>
      <c r="G31" s="15">
        <f>IF(AND(ISNUMBER(E31),ISNUMBER(F31)),E31*F31/60,0)</f>
        <v/>
      </c>
      <c r="H31" s="16" t="n">
        <v>1</v>
      </c>
      <c r="I31" s="17" t="n"/>
      <c r="J31" s="15">
        <f>G31*IF(ISNUMBER(I31),I31,IF(ISNUMBER(H31),H31,0))</f>
        <v/>
      </c>
      <c r="K31" s="18" t="inlineStr">
        <is>
          <t>Ja</t>
        </is>
      </c>
      <c r="L31" s="13" t="n"/>
      <c r="M31" s="13" t="n"/>
    </row>
    <row r="32">
      <c r="A32" s="11" t="inlineStr">
        <is>
          <t>Etterarbeid</t>
        </is>
      </c>
      <c r="B32" s="11" t="inlineStr">
        <is>
          <t>Evaluering (skjema, oppsummering)</t>
        </is>
      </c>
      <c r="C32" s="13" t="n"/>
      <c r="D32" s="13" t="n"/>
      <c r="E32" s="14" t="n"/>
      <c r="F32" s="14" t="n"/>
      <c r="G32" s="15">
        <f>IF(AND(ISNUMBER(E32),ISNUMBER(F32)),E32*F32/60,0)</f>
        <v/>
      </c>
      <c r="H32" s="16" t="n">
        <v>0.75</v>
      </c>
      <c r="I32" s="17" t="n"/>
      <c r="J32" s="15">
        <f>G32*IF(ISNUMBER(I32),I32,IF(ISNUMBER(H32),H32,0))</f>
        <v/>
      </c>
      <c r="K32" s="18" t="inlineStr">
        <is>
          <t>Nei</t>
        </is>
      </c>
      <c r="L32" s="13" t="n"/>
      <c r="M32" s="13" t="n"/>
    </row>
    <row r="33">
      <c r="A33" s="11" t="inlineStr">
        <is>
          <t>Etterarbeid</t>
        </is>
      </c>
      <c r="B33" s="11" t="inlineStr">
        <is>
          <t>Følge opp fravær</t>
        </is>
      </c>
      <c r="C33" s="13" t="n"/>
      <c r="D33" s="13" t="n"/>
      <c r="E33" s="14" t="n"/>
      <c r="F33" s="14" t="n"/>
      <c r="G33" s="15">
        <f>IF(AND(ISNUMBER(E33),ISNUMBER(F33)),E33*F33/60,0)</f>
        <v/>
      </c>
      <c r="H33" s="16" t="n">
        <v>0.5</v>
      </c>
      <c r="I33" s="17" t="n"/>
      <c r="J33" s="15">
        <f>G33*IF(ISNUMBER(I33),I33,IF(ISNUMBER(H33),H33,0))</f>
        <v/>
      </c>
      <c r="K33" s="18" t="inlineStr">
        <is>
          <t>Delvis</t>
        </is>
      </c>
      <c r="L33" s="13" t="n"/>
      <c r="M33" s="13" t="n"/>
    </row>
    <row r="34">
      <c r="A34" s="11" t="inlineStr">
        <is>
          <t>Etterarbeid</t>
        </is>
      </c>
      <c r="B34" s="11" t="inlineStr">
        <is>
          <t>Rapporter og statistikk</t>
        </is>
      </c>
      <c r="C34" s="13" t="n"/>
      <c r="D34" s="13" t="n"/>
      <c r="E34" s="14" t="n"/>
      <c r="F34" s="14" t="n"/>
      <c r="G34" s="15">
        <f>IF(AND(ISNUMBER(E34),ISNUMBER(F34)),E34*F34/60,0)</f>
        <v/>
      </c>
      <c r="H34" s="16" t="n">
        <v>0.75</v>
      </c>
      <c r="I34" s="17" t="n"/>
      <c r="J34" s="15">
        <f>G34*IF(ISNUMBER(I34),I34,IF(ISNUMBER(H34),H34,0))</f>
        <v/>
      </c>
      <c r="K34" s="18" t="inlineStr">
        <is>
          <t>Delvis</t>
        </is>
      </c>
      <c r="L34" s="13" t="n"/>
      <c r="M34" s="13" t="n"/>
    </row>
    <row r="35">
      <c r="A35" s="11" t="inlineStr">
        <is>
          <t>Etterarbeid</t>
        </is>
      </c>
      <c r="B35" s="11" t="inlineStr">
        <is>
          <t>Arkivering og sletting av personopplysninger</t>
        </is>
      </c>
      <c r="C35" s="13" t="n"/>
      <c r="D35" s="13" t="n"/>
      <c r="E35" s="14" t="n"/>
      <c r="F35" s="14" t="n"/>
      <c r="G35" s="15">
        <f>IF(AND(ISNUMBER(E35),ISNUMBER(F35)),E35*F35/60,0)</f>
        <v/>
      </c>
      <c r="H35" s="16" t="n">
        <v>0.75</v>
      </c>
      <c r="I35" s="17" t="n"/>
      <c r="J35" s="15">
        <f>G35*IF(ISNUMBER(I35),I35,IF(ISNUMBER(H35),H35,0))</f>
        <v/>
      </c>
      <c r="K35" s="18" t="inlineStr">
        <is>
          <t>Delvis</t>
        </is>
      </c>
      <c r="L35" s="13" t="n"/>
      <c r="M35" s="13" t="n"/>
    </row>
    <row r="36">
      <c r="A36" s="13" t="n"/>
      <c r="B36" s="13" t="n"/>
      <c r="C36" s="13" t="n"/>
      <c r="D36" s="13" t="n"/>
      <c r="E36" s="14" t="n"/>
      <c r="F36" s="14" t="n"/>
      <c r="G36" s="15">
        <f>IF(AND(ISNUMBER(E36),ISNUMBER(F36)),E36*F36/60,0)</f>
        <v/>
      </c>
      <c r="H36" s="16" t="n"/>
      <c r="I36" s="17" t="n"/>
      <c r="J36" s="15">
        <f>G36*IF(ISNUMBER(I36),I36,IF(ISNUMBER(H36),H36,0))</f>
        <v/>
      </c>
      <c r="K36" s="13" t="n"/>
      <c r="L36" s="13" t="n"/>
      <c r="M36" s="13" t="n"/>
    </row>
    <row r="37">
      <c r="A37" s="13" t="n"/>
      <c r="B37" s="13" t="n"/>
      <c r="C37" s="13" t="n"/>
      <c r="D37" s="13" t="n"/>
      <c r="E37" s="14" t="n"/>
      <c r="F37" s="14" t="n"/>
      <c r="G37" s="15">
        <f>IF(AND(ISNUMBER(E37),ISNUMBER(F37)),E37*F37/60,0)</f>
        <v/>
      </c>
      <c r="H37" s="16" t="n"/>
      <c r="I37" s="17" t="n"/>
      <c r="J37" s="15">
        <f>G37*IF(ISNUMBER(I37),I37,IF(ISNUMBER(H37),H37,0))</f>
        <v/>
      </c>
      <c r="K37" s="13" t="n"/>
      <c r="L37" s="13" t="n"/>
      <c r="M37" s="13" t="n"/>
    </row>
    <row r="38">
      <c r="A38" s="13" t="n"/>
      <c r="B38" s="13" t="n"/>
      <c r="C38" s="13" t="n"/>
      <c r="D38" s="13" t="n"/>
      <c r="E38" s="14" t="n"/>
      <c r="F38" s="14" t="n"/>
      <c r="G38" s="15">
        <f>IF(AND(ISNUMBER(E38),ISNUMBER(F38)),E38*F38/60,0)</f>
        <v/>
      </c>
      <c r="H38" s="16" t="n"/>
      <c r="I38" s="17" t="n"/>
      <c r="J38" s="15">
        <f>G38*IF(ISNUMBER(I38),I38,IF(ISNUMBER(H38),H38,0))</f>
        <v/>
      </c>
      <c r="K38" s="13" t="n"/>
      <c r="L38" s="13" t="n"/>
      <c r="M38" s="13" t="n"/>
    </row>
    <row r="39">
      <c r="A39" s="13" t="n"/>
      <c r="B39" s="13" t="n"/>
      <c r="C39" s="13" t="n"/>
      <c r="D39" s="13" t="n"/>
      <c r="E39" s="14" t="n"/>
      <c r="F39" s="14" t="n"/>
      <c r="G39" s="15">
        <f>IF(AND(ISNUMBER(E39),ISNUMBER(F39)),E39*F39/60,0)</f>
        <v/>
      </c>
      <c r="H39" s="16" t="n"/>
      <c r="I39" s="17" t="n"/>
      <c r="J39" s="15">
        <f>G39*IF(ISNUMBER(I39),I39,IF(ISNUMBER(H39),H39,0))</f>
        <v/>
      </c>
      <c r="K39" s="13" t="n"/>
      <c r="L39" s="13" t="n"/>
      <c r="M39" s="13" t="n"/>
    </row>
    <row r="40">
      <c r="A40" s="13" t="n"/>
      <c r="B40" s="13" t="n"/>
      <c r="C40" s="13" t="n"/>
      <c r="D40" s="13" t="n"/>
      <c r="E40" s="14" t="n"/>
      <c r="F40" s="14" t="n"/>
      <c r="G40" s="15">
        <f>IF(AND(ISNUMBER(E40),ISNUMBER(F40)),E40*F40/60,0)</f>
        <v/>
      </c>
      <c r="H40" s="16" t="n"/>
      <c r="I40" s="17" t="n"/>
      <c r="J40" s="15">
        <f>G40*IF(ISNUMBER(I40),I40,IF(ISNUMBER(H40),H40,0))</f>
        <v/>
      </c>
      <c r="K40" s="13" t="n"/>
      <c r="L40" s="13" t="n"/>
      <c r="M40" s="13" t="n"/>
    </row>
    <row r="41">
      <c r="A41" s="13" t="n"/>
      <c r="B41" s="13" t="n"/>
      <c r="C41" s="13" t="n"/>
      <c r="D41" s="13" t="n"/>
      <c r="E41" s="14" t="n"/>
      <c r="F41" s="14" t="n"/>
      <c r="G41" s="15">
        <f>IF(AND(ISNUMBER(E41),ISNUMBER(F41)),E41*F41/60,0)</f>
        <v/>
      </c>
      <c r="H41" s="16" t="n"/>
      <c r="I41" s="17" t="n"/>
      <c r="J41" s="15">
        <f>G41*IF(ISNUMBER(I41),I41,IF(ISNUMBER(H41),H41,0))</f>
        <v/>
      </c>
      <c r="K41" s="13" t="n"/>
      <c r="L41" s="13" t="n"/>
      <c r="M41" s="13" t="n"/>
    </row>
    <row r="42">
      <c r="B42" s="12" t="inlineStr">
        <is>
          <t>Totalt</t>
        </is>
      </c>
      <c r="C42" s="12" t="n"/>
      <c r="D42" s="12" t="n"/>
      <c r="E42" s="12" t="n"/>
      <c r="F42" s="12" t="n"/>
      <c r="G42" s="19">
        <f>SUM(G5:G41)</f>
        <v/>
      </c>
      <c r="H42" s="20">
        <f>IF(G42&gt;0,J42/G42,0)</f>
        <v/>
      </c>
      <c r="I42" s="12" t="n"/>
      <c r="J42" s="19">
        <f>SUM(J5:J41)</f>
        <v/>
      </c>
      <c r="K42" s="12" t="n"/>
      <c r="L42" s="12" t="n"/>
      <c r="M42" s="12" t="n"/>
    </row>
  </sheetData>
  <dataValidations count="3">
    <dataValidation sqref="I5:I41" showDropDown="0" showInputMessage="0" showErrorMessage="0" allowBlank="1" type="list">
      <formula1>"0%,25%,50%,75%,100%"</formula1>
    </dataValidation>
    <dataValidation sqref="M5:M41" showDropDown="0" showInputMessage="0" showErrorMessage="0" allowBlank="1" type="list">
      <formula1>"Høy,Middels,Lav"</formula1>
    </dataValidation>
    <dataValidation sqref="A5:A41" showDropDown="0" showInputMessage="0" showErrorMessage="0" allowBlank="1" type="list">
      <formula1>"Kursoppsett,Påmelding,Fakturering,Kommunikasjon,Materiell,Gjennomføring,Etterarbeid"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2" customWidth="1" min="7" max="7"/>
    <col width="36" customWidth="1" min="8" max="8"/>
  </cols>
  <sheetData>
    <row r="1">
      <c r="A1" s="1" t="inlineStr">
        <is>
          <t>Kurstyper og volum</t>
        </is>
      </c>
    </row>
    <row r="2">
      <c r="A2" s="2" t="inlineStr">
        <is>
          <t>Én rad per kurstype. Tallene brukes til å anslå «Antall per år» i Prosess-arket.</t>
        </is>
      </c>
    </row>
    <row r="4" ht="32" customHeight="1">
      <c r="A4" s="10" t="inlineStr">
        <is>
          <t>Kurstype</t>
        </is>
      </c>
      <c r="B4" s="10" t="inlineStr">
        <is>
          <t>Kurs per år</t>
        </is>
      </c>
      <c r="C4" s="10" t="inlineStr">
        <is>
          <t>Deltakere per kurs</t>
        </is>
      </c>
      <c r="D4" s="10" t="inlineStr">
        <is>
          <t>Kursdager per kurs</t>
        </is>
      </c>
      <c r="E4" s="10" t="inlineStr">
        <is>
          <t>Format</t>
        </is>
      </c>
      <c r="F4" s="10" t="inlineStr">
        <is>
          <t>Fakturering</t>
        </is>
      </c>
      <c r="G4" s="10" t="inlineStr">
        <is>
          <t>Pris (kr)</t>
        </is>
      </c>
      <c r="H4" s="10" t="inlineStr">
        <is>
          <t>Særlige behov</t>
        </is>
      </c>
    </row>
    <row r="5">
      <c r="A5" s="11" t="inlineStr">
        <is>
          <t>EFT spesialistutdanning (samlinger)</t>
        </is>
      </c>
      <c r="B5" s="14" t="n"/>
      <c r="C5" s="14" t="n"/>
      <c r="D5" s="14" t="n"/>
      <c r="E5" s="13" t="n"/>
      <c r="F5" s="13" t="n"/>
      <c r="G5" s="14" t="n"/>
      <c r="H5" s="13" t="n"/>
    </row>
    <row r="6">
      <c r="A6" s="11" t="inlineStr">
        <is>
          <t>Digitale enkeltstående kurs</t>
        </is>
      </c>
      <c r="B6" s="14" t="n"/>
      <c r="C6" s="14" t="n"/>
      <c r="D6" s="14" t="n"/>
      <c r="E6" s="13" t="n"/>
      <c r="F6" s="13" t="n"/>
      <c r="G6" s="14" t="n"/>
      <c r="H6" s="13" t="n"/>
    </row>
    <row r="7">
      <c r="A7" s="11" t="inlineStr">
        <is>
          <t>Bedriftsinterne kurs</t>
        </is>
      </c>
      <c r="B7" s="14" t="n"/>
      <c r="C7" s="14" t="n"/>
      <c r="D7" s="14" t="n"/>
      <c r="E7" s="13" t="n"/>
      <c r="F7" s="13" t="n"/>
      <c r="G7" s="14" t="n"/>
      <c r="H7" s="13" t="n"/>
    </row>
    <row r="8">
      <c r="A8" s="13" t="n"/>
      <c r="B8" s="14" t="n"/>
      <c r="C8" s="14" t="n"/>
      <c r="D8" s="14" t="n"/>
      <c r="E8" s="13" t="n"/>
      <c r="F8" s="13" t="n"/>
      <c r="G8" s="14" t="n"/>
      <c r="H8" s="13" t="n"/>
    </row>
    <row r="9">
      <c r="A9" s="13" t="n"/>
      <c r="B9" s="14" t="n"/>
      <c r="C9" s="14" t="n"/>
      <c r="D9" s="14" t="n"/>
      <c r="E9" s="13" t="n"/>
      <c r="F9" s="13" t="n"/>
      <c r="G9" s="14" t="n"/>
      <c r="H9" s="13" t="n"/>
    </row>
    <row r="10">
      <c r="A10" s="13" t="n"/>
      <c r="B10" s="14" t="n"/>
      <c r="C10" s="14" t="n"/>
      <c r="D10" s="14" t="n"/>
      <c r="E10" s="13" t="n"/>
      <c r="F10" s="13" t="n"/>
      <c r="G10" s="14" t="n"/>
      <c r="H10" s="13" t="n"/>
    </row>
    <row r="11">
      <c r="A11" s="13" t="n"/>
      <c r="B11" s="14" t="n"/>
      <c r="C11" s="14" t="n"/>
      <c r="D11" s="14" t="n"/>
      <c r="E11" s="13" t="n"/>
      <c r="F11" s="13" t="n"/>
      <c r="G11" s="14" t="n"/>
      <c r="H11" s="13" t="n"/>
    </row>
    <row r="12">
      <c r="A12" s="12" t="inlineStr">
        <is>
          <t>Totalt / sum</t>
        </is>
      </c>
      <c r="B12" s="21">
        <f>SUM(B5:B11)</f>
        <v/>
      </c>
      <c r="C12" s="21">
        <f>SUMPRODUCT(B5:B11,C5:C11)</f>
        <v/>
      </c>
      <c r="D12" s="21">
        <f>SUMPRODUCT(B5:B11,D5:D11)</f>
        <v/>
      </c>
      <c r="E12" s="12" t="n"/>
      <c r="F12" s="12" t="n"/>
      <c r="G12" s="12" t="n"/>
      <c r="H12" s="12" t="n"/>
    </row>
    <row r="13">
      <c r="B13" s="2" t="inlineStr">
        <is>
          <t>kurs/år</t>
        </is>
      </c>
      <c r="C13" s="2" t="inlineStr">
        <is>
          <t>påmeldinger/år</t>
        </is>
      </c>
      <c r="D13" s="2" t="inlineStr">
        <is>
          <t>kursdager/år</t>
        </is>
      </c>
    </row>
  </sheetData>
  <dataValidations count="2">
    <dataValidation sqref="E5:E11" showDropDown="0" showInputMessage="0" showErrorMessage="0" allowBlank="1" type="list">
      <formula1>"Fysisk,Digitalt,Hybrid"</formula1>
    </dataValidation>
    <dataValidation sqref="F5:F11" showDropDown="0" showInputMessage="0" showErrorMessage="0" allowBlank="1" type="list">
      <formula1>"Per deltaker,Samlet til org.,Begge,Gratis"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44" customWidth="1" min="4" max="4"/>
    <col width="13" customWidth="1" min="5" max="5"/>
    <col width="11" customWidth="1" min="6" max="6"/>
    <col width="13" customWidth="1" min="7" max="7"/>
    <col width="36" customWidth="1" min="8" max="8"/>
  </cols>
  <sheetData>
    <row r="1">
      <c r="A1" s="1" t="inlineStr">
        <is>
          <t>Funksjoner – bruk i dag og behov framover</t>
        </is>
      </c>
    </row>
    <row r="2">
      <c r="A2" s="2" t="inlineStr">
        <is>
          <t>«Brukes i dag» og «Behov» fylles ut i møtet. «I prototypen» viser hva som finnes allerede.</t>
        </is>
      </c>
    </row>
    <row r="4" ht="32" customHeight="1">
      <c r="A4" s="10" t="inlineStr">
        <is>
          <t>ID</t>
        </is>
      </c>
      <c r="B4" s="10" t="inlineStr">
        <is>
          <t>Område</t>
        </is>
      </c>
      <c r="C4" s="10" t="inlineStr">
        <is>
          <t>Funksjon</t>
        </is>
      </c>
      <c r="D4" s="10" t="inlineStr">
        <is>
          <t>Beskrivelse</t>
        </is>
      </c>
      <c r="E4" s="10" t="inlineStr">
        <is>
          <t>Brukes i dag?</t>
        </is>
      </c>
      <c r="F4" s="10" t="inlineStr">
        <is>
          <t>Behov</t>
        </is>
      </c>
      <c r="G4" s="10" t="inlineStr">
        <is>
          <t>I prototypen</t>
        </is>
      </c>
      <c r="H4" s="10" t="inlineStr">
        <is>
          <t>Kommentar</t>
        </is>
      </c>
    </row>
    <row r="5">
      <c r="A5" s="11" t="inlineStr">
        <is>
          <t>F01</t>
        </is>
      </c>
      <c r="B5" s="11" t="inlineStr">
        <is>
          <t>Påmelding</t>
        </is>
      </c>
      <c r="C5" s="11" t="inlineStr">
        <is>
          <t>Påmeldingsskjema på nettsiden</t>
        </is>
      </c>
      <c r="D5" s="11" t="inlineStr">
        <is>
          <t>Skjema per kurs, egne felt per kurstype</t>
        </is>
      </c>
      <c r="E5" s="13" t="n"/>
      <c r="F5" s="13" t="n"/>
      <c r="G5" s="18" t="inlineStr">
        <is>
          <t>Ja</t>
        </is>
      </c>
      <c r="H5" s="13" t="n"/>
    </row>
    <row r="6">
      <c r="A6" s="11" t="inlineStr">
        <is>
          <t>F02</t>
        </is>
      </c>
      <c r="B6" s="11" t="inlineStr">
        <is>
          <t>Påmelding</t>
        </is>
      </c>
      <c r="C6" s="11" t="inlineStr">
        <is>
          <t>Kursoversikt / kalender</t>
        </is>
      </c>
      <c r="D6" s="11" t="inlineStr">
        <is>
          <t>Liste over åpne kurs, innbygget på ipr-nettsiden</t>
        </is>
      </c>
      <c r="E6" s="13" t="n"/>
      <c r="F6" s="13" t="n"/>
      <c r="G6" s="18" t="inlineStr">
        <is>
          <t>Delvis</t>
        </is>
      </c>
      <c r="H6" s="13" t="n"/>
    </row>
    <row r="7">
      <c r="A7" s="11" t="inlineStr">
        <is>
          <t>F03</t>
        </is>
      </c>
      <c r="B7" s="11" t="inlineStr">
        <is>
          <t>Påmelding</t>
        </is>
      </c>
      <c r="C7" s="11" t="inlineStr">
        <is>
          <t>Venteliste med automatisk opprykk</t>
        </is>
      </c>
      <c r="D7" s="11" t="inlineStr">
        <is>
          <t>Fullt kurs → venteliste → plass ved avmelding</t>
        </is>
      </c>
      <c r="E7" s="13" t="n"/>
      <c r="F7" s="13" t="n"/>
      <c r="G7" s="18" t="inlineStr">
        <is>
          <t>Ja</t>
        </is>
      </c>
      <c r="H7" s="13" t="n"/>
    </row>
    <row r="8">
      <c r="A8" s="11" t="inlineStr">
        <is>
          <t>F04</t>
        </is>
      </c>
      <c r="B8" s="11" t="inlineStr">
        <is>
          <t>Påmelding</t>
        </is>
      </c>
      <c r="C8" s="11" t="inlineStr">
        <is>
          <t>Rabattkoder / medlemspris</t>
        </is>
      </c>
      <c r="D8" s="11" t="inlineStr">
        <is>
          <t>Ulike priser for grupper, tidlig påmelding</t>
        </is>
      </c>
      <c r="E8" s="13" t="n"/>
      <c r="F8" s="13" t="n"/>
      <c r="G8" s="18" t="inlineStr">
        <is>
          <t>Nei</t>
        </is>
      </c>
      <c r="H8" s="13" t="n"/>
    </row>
    <row r="9">
      <c r="A9" s="11" t="inlineStr">
        <is>
          <t>F05</t>
        </is>
      </c>
      <c r="B9" s="11" t="inlineStr">
        <is>
          <t>Påmelding</t>
        </is>
      </c>
      <c r="C9" s="11" t="inlineStr">
        <is>
          <t>Betaling med kort/Vipps ved påmelding</t>
        </is>
      </c>
      <c r="D9" s="11" t="inlineStr">
        <is>
          <t>Alternativ til faktura</t>
        </is>
      </c>
      <c r="E9" s="13" t="n"/>
      <c r="F9" s="13" t="n"/>
      <c r="G9" s="18" t="inlineStr">
        <is>
          <t>Nei</t>
        </is>
      </c>
      <c r="H9" s="13" t="n"/>
    </row>
    <row r="10">
      <c r="A10" s="11" t="inlineStr">
        <is>
          <t>F06</t>
        </is>
      </c>
      <c r="B10" s="11" t="inlineStr">
        <is>
          <t>Påmelding</t>
        </is>
      </c>
      <c r="C10" s="11" t="inlineStr">
        <is>
          <t>Påmelding av flere deltakere samtidig</t>
        </is>
      </c>
      <c r="D10" s="11" t="inlineStr">
        <is>
          <t>Arbeidsgiver melder på flere ansatte</t>
        </is>
      </c>
      <c r="E10" s="13" t="n"/>
      <c r="F10" s="13" t="n"/>
      <c r="G10" s="18" t="inlineStr">
        <is>
          <t>Nei</t>
        </is>
      </c>
      <c r="H10" s="13" t="n"/>
    </row>
    <row r="11">
      <c r="A11" s="11" t="inlineStr">
        <is>
          <t>F07</t>
        </is>
      </c>
      <c r="B11" s="11" t="inlineStr">
        <is>
          <t>Påmelding</t>
        </is>
      </c>
      <c r="C11" s="11" t="inlineStr">
        <is>
          <t>Selvbetjent avmelding</t>
        </is>
      </c>
      <c r="D11" s="11" t="inlineStr">
        <is>
          <t>Deltaker melder seg av selv innen frist</t>
        </is>
      </c>
      <c r="E11" s="13" t="n"/>
      <c r="F11" s="13" t="n"/>
      <c r="G11" s="18" t="inlineStr">
        <is>
          <t>Nei</t>
        </is>
      </c>
      <c r="H11" s="13" t="n"/>
    </row>
    <row r="12">
      <c r="A12" s="11" t="inlineStr">
        <is>
          <t>F08</t>
        </is>
      </c>
      <c r="B12" s="11" t="inlineStr">
        <is>
          <t>Påmelding</t>
        </is>
      </c>
      <c r="C12" s="11" t="inlineStr">
        <is>
          <t>Vilkår og samtykke</t>
        </is>
      </c>
      <c r="D12" s="11" t="inlineStr">
        <is>
          <t>Aksept av vilkår og personvern lagres</t>
        </is>
      </c>
      <c r="E12" s="13" t="n"/>
      <c r="F12" s="13" t="n"/>
      <c r="G12" s="18" t="inlineStr">
        <is>
          <t>Ja</t>
        </is>
      </c>
      <c r="H12" s="13" t="n"/>
    </row>
    <row r="13">
      <c r="A13" s="11" t="inlineStr">
        <is>
          <t>F09</t>
        </is>
      </c>
      <c r="B13" s="11" t="inlineStr">
        <is>
          <t>Faktura</t>
        </is>
      </c>
      <c r="C13" s="11" t="inlineStr">
        <is>
          <t>Automatisk faktura per deltaker til Visma</t>
        </is>
      </c>
      <c r="D13" s="11" t="inlineStr">
        <is>
          <t>Opprettes ved påmelding</t>
        </is>
      </c>
      <c r="E13" s="13" t="n"/>
      <c r="F13" s="13" t="n"/>
      <c r="G13" s="18" t="inlineStr">
        <is>
          <t>Ja</t>
        </is>
      </c>
      <c r="H13" s="13" t="n"/>
    </row>
    <row r="14">
      <c r="A14" s="11" t="inlineStr">
        <is>
          <t>F10</t>
        </is>
      </c>
      <c r="B14" s="11" t="inlineStr">
        <is>
          <t>Faktura</t>
        </is>
      </c>
      <c r="C14" s="11" t="inlineStr">
        <is>
          <t>Faktura til arbeidsgiver / EHF</t>
        </is>
      </c>
      <c r="D14" s="11" t="inlineStr">
        <is>
          <t>Org.nr, referanse, EHF</t>
        </is>
      </c>
      <c r="E14" s="13" t="n"/>
      <c r="F14" s="13" t="n"/>
      <c r="G14" s="18" t="inlineStr">
        <is>
          <t>Ja</t>
        </is>
      </c>
      <c r="H14" s="13" t="n"/>
    </row>
    <row r="15">
      <c r="A15" s="11" t="inlineStr">
        <is>
          <t>F11</t>
        </is>
      </c>
      <c r="B15" s="11" t="inlineStr">
        <is>
          <t>Faktura</t>
        </is>
      </c>
      <c r="C15" s="11" t="inlineStr">
        <is>
          <t>Samlefaktura per organisasjon</t>
        </is>
      </c>
      <c r="D15" s="11" t="inlineStr">
        <is>
          <t>Én faktura for flere deltakere</t>
        </is>
      </c>
      <c r="E15" s="13" t="n"/>
      <c r="F15" s="13" t="n"/>
      <c r="G15" s="18" t="inlineStr">
        <is>
          <t>Nei</t>
        </is>
      </c>
      <c r="H15" s="13" t="n"/>
    </row>
    <row r="16">
      <c r="A16" s="11" t="inlineStr">
        <is>
          <t>F12</t>
        </is>
      </c>
      <c r="B16" s="11" t="inlineStr">
        <is>
          <t>Faktura</t>
        </is>
      </c>
      <c r="C16" s="11" t="inlineStr">
        <is>
          <t>Delbetaling / avdrag (spesialistløp)</t>
        </is>
      </c>
      <c r="D16" s="11" t="inlineStr">
        <is>
          <t>Faktura per semester/samling</t>
        </is>
      </c>
      <c r="E16" s="13" t="n"/>
      <c r="F16" s="13" t="n"/>
      <c r="G16" s="18" t="inlineStr">
        <is>
          <t>Nei</t>
        </is>
      </c>
      <c r="H16" s="13" t="n"/>
    </row>
    <row r="17">
      <c r="A17" s="11" t="inlineStr">
        <is>
          <t>F13</t>
        </is>
      </c>
      <c r="B17" s="11" t="inlineStr">
        <is>
          <t>Faktura</t>
        </is>
      </c>
      <c r="C17" s="11" t="inlineStr">
        <is>
          <t>Kreditnota ved avmelding</t>
        </is>
      </c>
      <c r="D17" s="11" t="inlineStr">
        <is>
          <t>Etter avmeldingsregler</t>
        </is>
      </c>
      <c r="E17" s="13" t="n"/>
      <c r="F17" s="13" t="n"/>
      <c r="G17" s="18" t="inlineStr">
        <is>
          <t>Nei</t>
        </is>
      </c>
      <c r="H17" s="13" t="n"/>
    </row>
    <row r="18">
      <c r="A18" s="11" t="inlineStr">
        <is>
          <t>F14</t>
        </is>
      </c>
      <c r="B18" s="11" t="inlineStr">
        <is>
          <t>Faktura</t>
        </is>
      </c>
      <c r="C18" s="11" t="inlineStr">
        <is>
          <t>Betalingsstatus tilbake fra Visma</t>
        </is>
      </c>
      <c r="D18" s="11" t="inlineStr">
        <is>
          <t>Se hvem som har betalt</t>
        </is>
      </c>
      <c r="E18" s="13" t="n"/>
      <c r="F18" s="13" t="n"/>
      <c r="G18" s="18" t="inlineStr">
        <is>
          <t>Nei</t>
        </is>
      </c>
      <c r="H18" s="13" t="n"/>
    </row>
    <row r="19">
      <c r="A19" s="11" t="inlineStr">
        <is>
          <t>F15</t>
        </is>
      </c>
      <c r="B19" s="11" t="inlineStr">
        <is>
          <t>E-post</t>
        </is>
      </c>
      <c r="C19" s="11" t="inlineStr">
        <is>
          <t>Bekreftelse ved påmelding</t>
        </is>
      </c>
      <c r="D19" s="11" t="n"/>
      <c r="E19" s="13" t="n"/>
      <c r="F19" s="13" t="n"/>
      <c r="G19" s="18" t="inlineStr">
        <is>
          <t>Ja</t>
        </is>
      </c>
      <c r="H19" s="13" t="n"/>
    </row>
    <row r="20">
      <c r="A20" s="11" t="inlineStr">
        <is>
          <t>F16</t>
        </is>
      </c>
      <c r="B20" s="11" t="inlineStr">
        <is>
          <t>E-post</t>
        </is>
      </c>
      <c r="C20" s="11" t="inlineStr">
        <is>
          <t>Velkomst/praktisk info uka før</t>
        </is>
      </c>
      <c r="D20" s="11" t="n"/>
      <c r="E20" s="13" t="n"/>
      <c r="F20" s="13" t="n"/>
      <c r="G20" s="18" t="inlineStr">
        <is>
          <t>Ja</t>
        </is>
      </c>
      <c r="H20" s="13" t="n"/>
    </row>
    <row r="21">
      <c r="A21" s="11" t="inlineStr">
        <is>
          <t>F17</t>
        </is>
      </c>
      <c r="B21" s="11" t="inlineStr">
        <is>
          <t>E-post</t>
        </is>
      </c>
      <c r="C21" s="11" t="inlineStr">
        <is>
          <t>Påminnelse + Zoom-lenke dagen før</t>
        </is>
      </c>
      <c r="D21" s="11" t="n"/>
      <c r="E21" s="13" t="n"/>
      <c r="F21" s="13" t="n"/>
      <c r="G21" s="18" t="inlineStr">
        <is>
          <t>Ja</t>
        </is>
      </c>
      <c r="H21" s="13" t="n"/>
    </row>
    <row r="22">
      <c r="A22" s="11" t="inlineStr">
        <is>
          <t>F18</t>
        </is>
      </c>
      <c r="B22" s="11" t="inlineStr">
        <is>
          <t>E-post</t>
        </is>
      </c>
      <c r="C22" s="11" t="inlineStr">
        <is>
          <t>Manuell utsending til alle på et kurs</t>
        </is>
      </c>
      <c r="D22" s="11" t="inlineStr">
        <is>
          <t>Endringer, avlysning</t>
        </is>
      </c>
      <c r="E22" s="13" t="n"/>
      <c r="F22" s="13" t="n"/>
      <c r="G22" s="18" t="inlineStr">
        <is>
          <t>Nei</t>
        </is>
      </c>
      <c r="H22" s="13" t="n"/>
    </row>
    <row r="23">
      <c r="A23" s="11" t="inlineStr">
        <is>
          <t>F19</t>
        </is>
      </c>
      <c r="B23" s="11" t="inlineStr">
        <is>
          <t>E-post</t>
        </is>
      </c>
      <c r="C23" s="11" t="inlineStr">
        <is>
          <t>SMS-påminnelser</t>
        </is>
      </c>
      <c r="D23" s="11" t="n"/>
      <c r="E23" s="13" t="n"/>
      <c r="F23" s="13" t="n"/>
      <c r="G23" s="18" t="inlineStr">
        <is>
          <t>Nei</t>
        </is>
      </c>
      <c r="H23" s="13" t="n"/>
    </row>
    <row r="24">
      <c r="A24" s="11" t="inlineStr">
        <is>
          <t>F20</t>
        </is>
      </c>
      <c r="B24" s="11" t="inlineStr">
        <is>
          <t>E-post</t>
        </is>
      </c>
      <c r="C24" s="11" t="inlineStr">
        <is>
          <t>Redigerbare e-postmaler</t>
        </is>
      </c>
      <c r="D24" s="11" t="inlineStr">
        <is>
          <t>Adm endrer tekst selv</t>
        </is>
      </c>
      <c r="E24" s="13" t="n"/>
      <c r="F24" s="13" t="n"/>
      <c r="G24" s="18" t="inlineStr">
        <is>
          <t>Delvis</t>
        </is>
      </c>
      <c r="H24" s="13" t="n"/>
    </row>
    <row r="25">
      <c r="A25" s="11" t="inlineStr">
        <is>
          <t>F21</t>
        </is>
      </c>
      <c r="B25" s="11" t="inlineStr">
        <is>
          <t>Min side</t>
        </is>
      </c>
      <c r="C25" s="11" t="inlineStr">
        <is>
          <t>Innlogging uten passord (e-postlenke)</t>
        </is>
      </c>
      <c r="D25" s="11" t="inlineStr">
        <is>
          <t>Evt. BankID / Feide / Microsoft</t>
        </is>
      </c>
      <c r="E25" s="13" t="n"/>
      <c r="F25" s="13" t="n"/>
      <c r="G25" s="18" t="inlineStr">
        <is>
          <t>Ja</t>
        </is>
      </c>
      <c r="H25" s="13" t="n"/>
    </row>
    <row r="26">
      <c r="A26" s="11" t="inlineStr">
        <is>
          <t>F22</t>
        </is>
      </c>
      <c r="B26" s="11" t="inlineStr">
        <is>
          <t>Min side</t>
        </is>
      </c>
      <c r="C26" s="11" t="inlineStr">
        <is>
          <t>Oversikt over egne kurs og oppmøte</t>
        </is>
      </c>
      <c r="D26" s="11" t="n"/>
      <c r="E26" s="13" t="n"/>
      <c r="F26" s="13" t="n"/>
      <c r="G26" s="18" t="inlineStr">
        <is>
          <t>Ja</t>
        </is>
      </c>
      <c r="H26" s="13" t="n"/>
    </row>
    <row r="27">
      <c r="A27" s="11" t="inlineStr">
        <is>
          <t>F23</t>
        </is>
      </c>
      <c r="B27" s="11" t="inlineStr">
        <is>
          <t>Min side</t>
        </is>
      </c>
      <c r="C27" s="11" t="inlineStr">
        <is>
          <t>Kursmateriell (presentasjoner)</t>
        </is>
      </c>
      <c r="D27" s="11" t="inlineStr">
        <is>
          <t>Fra SharePoint, kun for påmeldte</t>
        </is>
      </c>
      <c r="E27" s="13" t="n"/>
      <c r="F27" s="13" t="n"/>
      <c r="G27" s="18" t="inlineStr">
        <is>
          <t>Ja</t>
        </is>
      </c>
      <c r="H27" s="13" t="n"/>
    </row>
    <row r="28">
      <c r="A28" s="11" t="inlineStr">
        <is>
          <t>F24</t>
        </is>
      </c>
      <c r="B28" s="11" t="inlineStr">
        <is>
          <t>Min side</t>
        </is>
      </c>
      <c r="C28" s="11" t="inlineStr">
        <is>
          <t>Kontrakter og personlige dokumenter</t>
        </is>
      </c>
      <c r="D28" s="11" t="inlineStr">
        <is>
          <t>Utdanningskontrakt o.l.</t>
        </is>
      </c>
      <c r="E28" s="13" t="n"/>
      <c r="F28" s="13" t="n"/>
      <c r="G28" s="18" t="inlineStr">
        <is>
          <t>Ja</t>
        </is>
      </c>
      <c r="H28" s="13" t="n"/>
    </row>
    <row r="29">
      <c r="A29" s="11" t="inlineStr">
        <is>
          <t>F25</t>
        </is>
      </c>
      <c r="B29" s="11" t="inlineStr">
        <is>
          <t>Min side</t>
        </is>
      </c>
      <c r="C29" s="11" t="inlineStr">
        <is>
          <t>Kursbevis og timeoversikt spesialistløp</t>
        </is>
      </c>
      <c r="D29" s="11" t="n"/>
      <c r="E29" s="13" t="n"/>
      <c r="F29" s="13" t="n"/>
      <c r="G29" s="18" t="inlineStr">
        <is>
          <t>Ja</t>
        </is>
      </c>
      <c r="H29" s="13" t="n"/>
    </row>
    <row r="30">
      <c r="A30" s="11" t="inlineStr">
        <is>
          <t>F26</t>
        </is>
      </c>
      <c r="B30" s="11" t="inlineStr">
        <is>
          <t>Min side</t>
        </is>
      </c>
      <c r="C30" s="11" t="inlineStr">
        <is>
          <t>Fakturaer og betalingsstatus</t>
        </is>
      </c>
      <c r="D30" s="11" t="n"/>
      <c r="E30" s="13" t="n"/>
      <c r="F30" s="13" t="n"/>
      <c r="G30" s="18" t="inlineStr">
        <is>
          <t>Delvis</t>
        </is>
      </c>
      <c r="H30" s="13" t="n"/>
    </row>
    <row r="31">
      <c r="A31" s="11" t="inlineStr">
        <is>
          <t>F27</t>
        </is>
      </c>
      <c r="B31" s="11" t="inlineStr">
        <is>
          <t>Min side</t>
        </is>
      </c>
      <c r="C31" s="11" t="inlineStr">
        <is>
          <t>Oppdatere egen kontaktinfo</t>
        </is>
      </c>
      <c r="D31" s="11" t="n"/>
      <c r="E31" s="13" t="n"/>
      <c r="F31" s="13" t="n"/>
      <c r="G31" s="18" t="inlineStr">
        <is>
          <t>Nei</t>
        </is>
      </c>
      <c r="H31" s="13" t="n"/>
    </row>
    <row r="32">
      <c r="A32" s="11" t="inlineStr">
        <is>
          <t>F28</t>
        </is>
      </c>
      <c r="B32" s="11" t="inlineStr">
        <is>
          <t>Min side</t>
        </is>
      </c>
      <c r="C32" s="11" t="inlineStr">
        <is>
          <t>Digital signering av kontrakt</t>
        </is>
      </c>
      <c r="D32" s="11" t="inlineStr">
        <is>
          <t>F.eks. via Visma Sign / Signicat</t>
        </is>
      </c>
      <c r="E32" s="13" t="n"/>
      <c r="F32" s="13" t="n"/>
      <c r="G32" s="18" t="inlineStr">
        <is>
          <t>Nei</t>
        </is>
      </c>
      <c r="H32" s="13" t="n"/>
    </row>
    <row r="33">
      <c r="A33" s="11" t="inlineStr">
        <is>
          <t>F29</t>
        </is>
      </c>
      <c r="B33" s="11" t="inlineStr">
        <is>
          <t>Oppmøte</t>
        </is>
      </c>
      <c r="C33" s="11" t="inlineStr">
        <is>
          <t>QR-innsjekk i kurslokalet</t>
        </is>
      </c>
      <c r="D33" s="11" t="inlineStr">
        <is>
          <t>Skann kode på skjerm</t>
        </is>
      </c>
      <c r="E33" s="13" t="n"/>
      <c r="F33" s="13" t="n"/>
      <c r="G33" s="18" t="inlineStr">
        <is>
          <t>Ja</t>
        </is>
      </c>
      <c r="H33" s="13" t="n"/>
    </row>
    <row r="34">
      <c r="A34" s="11" t="inlineStr">
        <is>
          <t>F30</t>
        </is>
      </c>
      <c r="B34" s="11" t="inlineStr">
        <is>
          <t>Oppmøte</t>
        </is>
      </c>
      <c r="C34" s="11" t="inlineStr">
        <is>
          <t>Innsjekk med kode (uten QR)</t>
        </is>
      </c>
      <c r="D34" s="11" t="n"/>
      <c r="E34" s="13" t="n"/>
      <c r="F34" s="13" t="n"/>
      <c r="G34" s="18" t="inlineStr">
        <is>
          <t>Ja</t>
        </is>
      </c>
      <c r="H34" s="13" t="n"/>
    </row>
    <row r="35">
      <c r="A35" s="11" t="inlineStr">
        <is>
          <t>F31</t>
        </is>
      </c>
      <c r="B35" s="11" t="inlineStr">
        <is>
          <t>Oppmøte</t>
        </is>
      </c>
      <c r="C35" s="11" t="inlineStr">
        <is>
          <t>Oppmøte fra Zoom automatisk</t>
        </is>
      </c>
      <c r="D35" s="11" t="n"/>
      <c r="E35" s="13" t="n"/>
      <c r="F35" s="13" t="n"/>
      <c r="G35" s="18" t="inlineStr">
        <is>
          <t>Ja</t>
        </is>
      </c>
      <c r="H35" s="13" t="n"/>
    </row>
    <row r="36">
      <c r="A36" s="11" t="inlineStr">
        <is>
          <t>F32</t>
        </is>
      </c>
      <c r="B36" s="11" t="inlineStr">
        <is>
          <t>Oppmøte</t>
        </is>
      </c>
      <c r="C36" s="11" t="inlineStr">
        <is>
          <t>Manuell registrering/korrigering</t>
        </is>
      </c>
      <c r="D36" s="11" t="n"/>
      <c r="E36" s="13" t="n"/>
      <c r="F36" s="13" t="n"/>
      <c r="G36" s="18" t="inlineStr">
        <is>
          <t>Ja</t>
        </is>
      </c>
      <c r="H36" s="13" t="n"/>
    </row>
    <row r="37">
      <c r="A37" s="11" t="inlineStr">
        <is>
          <t>F33</t>
        </is>
      </c>
      <c r="B37" s="11" t="inlineStr">
        <is>
          <t>Oppmøte</t>
        </is>
      </c>
      <c r="C37" s="11" t="inlineStr">
        <is>
          <t>Varsel ved fravær</t>
        </is>
      </c>
      <c r="D37" s="11" t="inlineStr">
        <is>
          <t>Til deltaker og/eller adm</t>
        </is>
      </c>
      <c r="E37" s="13" t="n"/>
      <c r="F37" s="13" t="n"/>
      <c r="G37" s="18" t="inlineStr">
        <is>
          <t>Nei</t>
        </is>
      </c>
      <c r="H37" s="13" t="n"/>
    </row>
    <row r="38">
      <c r="A38" s="11" t="inlineStr">
        <is>
          <t>F34</t>
        </is>
      </c>
      <c r="B38" s="11" t="inlineStr">
        <is>
          <t>Kursholder</t>
        </is>
      </c>
      <c r="C38" s="11" t="inlineStr">
        <is>
          <t>Purring på presentasjoner</t>
        </is>
      </c>
      <c r="D38" s="11" t="inlineStr">
        <is>
          <t>Automatisk før frist, eskalering til adm</t>
        </is>
      </c>
      <c r="E38" s="13" t="n"/>
      <c r="F38" s="13" t="n"/>
      <c r="G38" s="18" t="inlineStr">
        <is>
          <t>Ja</t>
        </is>
      </c>
      <c r="H38" s="13" t="n"/>
    </row>
    <row r="39">
      <c r="A39" s="11" t="inlineStr">
        <is>
          <t>F35</t>
        </is>
      </c>
      <c r="B39" s="11" t="inlineStr">
        <is>
          <t>Kursholder</t>
        </is>
      </c>
      <c r="C39" s="11" t="inlineStr">
        <is>
          <t>Opplasting av materiell</t>
        </is>
      </c>
      <c r="D39" s="11" t="n"/>
      <c r="E39" s="13" t="n"/>
      <c r="F39" s="13" t="n"/>
      <c r="G39" s="18" t="inlineStr">
        <is>
          <t>Ja</t>
        </is>
      </c>
      <c r="H39" s="13" t="n"/>
    </row>
    <row r="40">
      <c r="A40" s="11" t="inlineStr">
        <is>
          <t>F36</t>
        </is>
      </c>
      <c r="B40" s="11" t="inlineStr">
        <is>
          <t>Kursholder</t>
        </is>
      </c>
      <c r="C40" s="11" t="inlineStr">
        <is>
          <t>Deltakerliste til kursholder</t>
        </is>
      </c>
      <c r="D40" s="11" t="n"/>
      <c r="E40" s="13" t="n"/>
      <c r="F40" s="13" t="n"/>
      <c r="G40" s="18" t="inlineStr">
        <is>
          <t>Nei</t>
        </is>
      </c>
      <c r="H40" s="13" t="n"/>
    </row>
    <row r="41">
      <c r="A41" s="11" t="inlineStr">
        <is>
          <t>F37</t>
        </is>
      </c>
      <c r="B41" s="11" t="inlineStr">
        <is>
          <t>Gjennomføring</t>
        </is>
      </c>
      <c r="C41" s="11" t="inlineStr">
        <is>
          <t>Allergi-/tilretteleggingsliste</t>
        </is>
      </c>
      <c r="D41" s="11" t="inlineStr">
        <is>
          <t>Sensitivt – slettes etter kurs</t>
        </is>
      </c>
      <c r="E41" s="13" t="n"/>
      <c r="F41" s="13" t="n"/>
      <c r="G41" s="18" t="inlineStr">
        <is>
          <t>Ja</t>
        </is>
      </c>
      <c r="H41" s="13" t="n"/>
    </row>
    <row r="42">
      <c r="A42" s="11" t="inlineStr">
        <is>
          <t>F38</t>
        </is>
      </c>
      <c r="B42" s="11" t="inlineStr">
        <is>
          <t>Gjennomføring</t>
        </is>
      </c>
      <c r="C42" s="11" t="inlineStr">
        <is>
          <t>Navneskilt / deltakerliste for utskrift</t>
        </is>
      </c>
      <c r="D42" s="11" t="n"/>
      <c r="E42" s="13" t="n"/>
      <c r="F42" s="13" t="n"/>
      <c r="G42" s="18" t="inlineStr">
        <is>
          <t>Delvis</t>
        </is>
      </c>
      <c r="H42" s="13" t="n"/>
    </row>
    <row r="43">
      <c r="A43" s="11" t="inlineStr">
        <is>
          <t>F39</t>
        </is>
      </c>
      <c r="B43" s="11" t="inlineStr">
        <is>
          <t>Gjennomføring</t>
        </is>
      </c>
      <c r="C43" s="11" t="inlineStr">
        <is>
          <t>Evaluering etter kurs</t>
        </is>
      </c>
      <c r="D43" s="11" t="inlineStr">
        <is>
          <t>Skjema + oppsummering</t>
        </is>
      </c>
      <c r="E43" s="13" t="n"/>
      <c r="F43" s="13" t="n"/>
      <c r="G43" s="18" t="inlineStr">
        <is>
          <t>Nei</t>
        </is>
      </c>
      <c r="H43" s="13" t="n"/>
    </row>
    <row r="44">
      <c r="A44" s="11" t="inlineStr">
        <is>
          <t>F40</t>
        </is>
      </c>
      <c r="B44" s="11" t="inlineStr">
        <is>
          <t>Admin</t>
        </is>
      </c>
      <c r="C44" s="11" t="inlineStr">
        <is>
          <t>Kursoversikt / dashboard</t>
        </is>
      </c>
      <c r="D44" s="11" t="n"/>
      <c r="E44" s="13" t="n"/>
      <c r="F44" s="13" t="n"/>
      <c r="G44" s="18" t="inlineStr">
        <is>
          <t>Ja</t>
        </is>
      </c>
      <c r="H44" s="13" t="n"/>
    </row>
    <row r="45">
      <c r="A45" s="11" t="inlineStr">
        <is>
          <t>F41</t>
        </is>
      </c>
      <c r="B45" s="11" t="inlineStr">
        <is>
          <t>Admin</t>
        </is>
      </c>
      <c r="C45" s="11" t="inlineStr">
        <is>
          <t>Eksport til Excel</t>
        </is>
      </c>
      <c r="D45" s="11" t="n"/>
      <c r="E45" s="13" t="n"/>
      <c r="F45" s="13" t="n"/>
      <c r="G45" s="18" t="inlineStr">
        <is>
          <t>Ja</t>
        </is>
      </c>
      <c r="H45" s="13" t="n"/>
    </row>
    <row r="46">
      <c r="A46" s="11" t="inlineStr">
        <is>
          <t>F42</t>
        </is>
      </c>
      <c r="B46" s="11" t="inlineStr">
        <is>
          <t>Admin</t>
        </is>
      </c>
      <c r="C46" s="11" t="inlineStr">
        <is>
          <t>Rapporter (omsetning, deltakere, fyllingsgrad)</t>
        </is>
      </c>
      <c r="D46" s="11" t="n"/>
      <c r="E46" s="13" t="n"/>
      <c r="F46" s="13" t="n"/>
      <c r="G46" s="18" t="inlineStr">
        <is>
          <t>Nei</t>
        </is>
      </c>
      <c r="H46" s="13" t="n"/>
    </row>
    <row r="47">
      <c r="A47" s="11" t="inlineStr">
        <is>
          <t>F43</t>
        </is>
      </c>
      <c r="B47" s="11" t="inlineStr">
        <is>
          <t>Admin</t>
        </is>
      </c>
      <c r="C47" s="11" t="inlineStr">
        <is>
          <t>Logg over hva som er gjort</t>
        </is>
      </c>
      <c r="D47" s="11" t="n"/>
      <c r="E47" s="13" t="n"/>
      <c r="F47" s="13" t="n"/>
      <c r="G47" s="18" t="inlineStr">
        <is>
          <t>Ja</t>
        </is>
      </c>
      <c r="H47" s="13" t="n"/>
    </row>
    <row r="48">
      <c r="A48" s="11" t="inlineStr">
        <is>
          <t>F44</t>
        </is>
      </c>
      <c r="B48" s="11" t="inlineStr">
        <is>
          <t>Admin</t>
        </is>
      </c>
      <c r="C48" s="11" t="inlineStr">
        <is>
          <t>Innlogging med Microsoft-konto</t>
        </is>
      </c>
      <c r="D48" s="11" t="n"/>
      <c r="E48" s="13" t="n"/>
      <c r="F48" s="13" t="n"/>
      <c r="G48" s="18" t="inlineStr">
        <is>
          <t>Nei</t>
        </is>
      </c>
      <c r="H48" s="13" t="n"/>
    </row>
    <row r="49">
      <c r="A49" s="11" t="inlineStr">
        <is>
          <t>F45</t>
        </is>
      </c>
      <c r="B49" s="11" t="inlineStr">
        <is>
          <t>Admin</t>
        </is>
      </c>
      <c r="C49" s="11" t="inlineStr">
        <is>
          <t>KI-assistent som svarer kun med godkjente svar</t>
        </is>
      </c>
      <c r="D49" s="11" t="inlineStr">
        <is>
          <t>Kunnskapsbase adm vedlikeholder; usikkert → adm</t>
        </is>
      </c>
      <c r="E49" s="13" t="n"/>
      <c r="F49" s="13" t="n"/>
      <c r="G49" s="18" t="inlineStr">
        <is>
          <t>Ja</t>
        </is>
      </c>
      <c r="H49" s="13" t="n"/>
    </row>
    <row r="50">
      <c r="A50" s="11" t="inlineStr">
        <is>
          <t>F46</t>
        </is>
      </c>
      <c r="B50" s="11" t="inlineStr">
        <is>
          <t>Admin</t>
        </is>
      </c>
      <c r="C50" s="11" t="inlineStr">
        <is>
          <t>To selskaper (IPR og IPR Oslo)</t>
        </is>
      </c>
      <c r="D50" s="11" t="inlineStr">
        <is>
          <t>I dag to Pindena-kontoer – egne regnskap/Visma-klienter?</t>
        </is>
      </c>
      <c r="E50" s="13" t="n"/>
      <c r="F50" s="13" t="n"/>
      <c r="G50" s="18" t="inlineStr">
        <is>
          <t>Nei</t>
        </is>
      </c>
      <c r="H50" s="13" t="n"/>
    </row>
    <row r="51">
      <c r="A51" s="11" t="inlineStr">
        <is>
          <t>F47</t>
        </is>
      </c>
      <c r="B51" s="11" t="inlineStr">
        <is>
          <t>Medlemskap</t>
        </is>
      </c>
      <c r="C51" s="11" t="inlineStr">
        <is>
          <t>NIEFT-medlemskap</t>
        </is>
      </c>
      <c r="D51" s="11" t="inlineStr">
        <is>
          <t>Ligger i Pindena i dag – påmelding og fakturering av medlemmer</t>
        </is>
      </c>
      <c r="E51" s="13" t="n"/>
      <c r="F51" s="13" t="n"/>
      <c r="G51" s="18" t="inlineStr">
        <is>
          <t>Nei</t>
        </is>
      </c>
      <c r="H51" s="13" t="n"/>
    </row>
    <row r="52">
      <c r="A52" s="11" t="inlineStr">
        <is>
          <t>F48</t>
        </is>
      </c>
      <c r="B52" s="11" t="inlineStr">
        <is>
          <t>Medlemskap</t>
        </is>
      </c>
      <c r="C52" s="11" t="inlineStr">
        <is>
          <t>EFT-veiledningspakker</t>
        </is>
      </c>
      <c r="D52" s="11" t="inlineStr">
        <is>
          <t>Ligger i Pindena i dag</t>
        </is>
      </c>
      <c r="E52" s="13" t="n"/>
      <c r="F52" s="13" t="n"/>
      <c r="G52" s="18" t="inlineStr">
        <is>
          <t>Nei</t>
        </is>
      </c>
      <c r="H52" s="13" t="n"/>
    </row>
    <row r="53">
      <c r="A53" s="11" t="inlineStr">
        <is>
          <t>F49</t>
        </is>
      </c>
      <c r="B53" s="11" t="inlineStr">
        <is>
          <t>Medlemskap</t>
        </is>
      </c>
      <c r="C53" s="11" t="inlineStr">
        <is>
          <t>Godkjenning av veiledere</t>
        </is>
      </c>
      <c r="D53" s="11" t="inlineStr">
        <is>
          <t>Ligger i Pindena i dag</t>
        </is>
      </c>
      <c r="E53" s="13" t="n"/>
      <c r="F53" s="13" t="n"/>
      <c r="G53" s="18" t="inlineStr">
        <is>
          <t>Nei</t>
        </is>
      </c>
      <c r="H53" s="13" t="n"/>
    </row>
    <row r="54">
      <c r="A54" s="11" t="inlineStr">
        <is>
          <t>F50</t>
        </is>
      </c>
      <c r="B54" s="11" t="inlineStr">
        <is>
          <t>Nettside</t>
        </is>
      </c>
      <c r="C54" s="11" t="inlineStr">
        <is>
          <t>Kurs vises på ipr.no med lenke til påmelding</t>
        </is>
      </c>
      <c r="D54" s="11" t="inlineStr">
        <is>
          <t>I dag «Booking»-lenke til Pindena på ~45 steder</t>
        </is>
      </c>
      <c r="E54" s="13" t="n"/>
      <c r="F54" s="13" t="n"/>
      <c r="G54" s="18" t="inlineStr">
        <is>
          <t>Delvis</t>
        </is>
      </c>
      <c r="H54" s="13" t="n"/>
    </row>
    <row r="55">
      <c r="A55" s="11" t="inlineStr">
        <is>
          <t>F51</t>
        </is>
      </c>
      <c r="B55" s="13" t="n"/>
      <c r="C55" s="13" t="n"/>
      <c r="D55" s="13" t="n"/>
      <c r="E55" s="13" t="n"/>
      <c r="F55" s="13" t="n"/>
      <c r="G55" s="13" t="n"/>
      <c r="H55" s="13" t="n"/>
    </row>
    <row r="56">
      <c r="A56" s="11" t="inlineStr">
        <is>
          <t>F52</t>
        </is>
      </c>
      <c r="B56" s="13" t="n"/>
      <c r="C56" s="13" t="n"/>
      <c r="D56" s="13" t="n"/>
      <c r="E56" s="13" t="n"/>
      <c r="F56" s="13" t="n"/>
      <c r="G56" s="13" t="n"/>
      <c r="H56" s="13" t="n"/>
    </row>
    <row r="57">
      <c r="A57" s="11" t="inlineStr">
        <is>
          <t>F53</t>
        </is>
      </c>
      <c r="B57" s="13" t="n"/>
      <c r="C57" s="13" t="n"/>
      <c r="D57" s="13" t="n"/>
      <c r="E57" s="13" t="n"/>
      <c r="F57" s="13" t="n"/>
      <c r="G57" s="13" t="n"/>
      <c r="H57" s="13" t="n"/>
    </row>
    <row r="58">
      <c r="A58" s="11" t="inlineStr">
        <is>
          <t>F54</t>
        </is>
      </c>
      <c r="B58" s="13" t="n"/>
      <c r="C58" s="13" t="n"/>
      <c r="D58" s="13" t="n"/>
      <c r="E58" s="13" t="n"/>
      <c r="F58" s="13" t="n"/>
      <c r="G58" s="13" t="n"/>
      <c r="H58" s="13" t="n"/>
    </row>
    <row r="59">
      <c r="A59" s="11" t="inlineStr">
        <is>
          <t>F55</t>
        </is>
      </c>
      <c r="B59" s="13" t="n"/>
      <c r="C59" s="13" t="n"/>
      <c r="D59" s="13" t="n"/>
      <c r="E59" s="13" t="n"/>
      <c r="F59" s="13" t="n"/>
      <c r="G59" s="13" t="n"/>
      <c r="H59" s="13" t="n"/>
    </row>
    <row r="60">
      <c r="A60" s="11" t="inlineStr">
        <is>
          <t>F56</t>
        </is>
      </c>
      <c r="B60" s="13" t="n"/>
      <c r="C60" s="13" t="n"/>
      <c r="D60" s="13" t="n"/>
      <c r="E60" s="13" t="n"/>
      <c r="F60" s="13" t="n"/>
      <c r="G60" s="13" t="n"/>
      <c r="H60" s="13" t="n"/>
    </row>
    <row r="61">
      <c r="A61" s="11" t="inlineStr">
        <is>
          <t>F57</t>
        </is>
      </c>
      <c r="B61" s="13" t="n"/>
      <c r="C61" s="13" t="n"/>
      <c r="D61" s="13" t="n"/>
      <c r="E61" s="13" t="n"/>
      <c r="F61" s="13" t="n"/>
      <c r="G61" s="13" t="n"/>
      <c r="H61" s="13" t="n"/>
    </row>
    <row r="62">
      <c r="A62" s="11" t="inlineStr">
        <is>
          <t>F58</t>
        </is>
      </c>
      <c r="B62" s="13" t="n"/>
      <c r="C62" s="13" t="n"/>
      <c r="D62" s="13" t="n"/>
      <c r="E62" s="13" t="n"/>
      <c r="F62" s="13" t="n"/>
      <c r="G62" s="13" t="n"/>
      <c r="H62" s="13" t="n"/>
    </row>
    <row r="64">
      <c r="C64" s="9" t="inlineStr">
        <is>
          <t>Antall «Må»</t>
        </is>
      </c>
      <c r="D64" s="9">
        <f>COUNTIF(F5:F62,"Må")</f>
        <v/>
      </c>
    </row>
    <row r="65">
      <c r="C65" s="9" t="inlineStr">
        <is>
          <t>«Må» som ikke finnes i prototypen</t>
        </is>
      </c>
      <c r="D65" s="9">
        <f>COUNTIFS(F5:F62,"Må",G5:G62,"Nei")</f>
        <v/>
      </c>
    </row>
  </sheetData>
  <dataValidations count="2">
    <dataValidation sqref="E5:E62" showDropDown="0" showInputMessage="0" showErrorMessage="0" allowBlank="1" type="list">
      <formula1>"Ja,Delvis,Nei,Vet ikke"</formula1>
    </dataValidation>
    <dataValidation sqref="F5:F62" showDropDown="0" showInputMessage="0" showErrorMessage="0" allowBlank="1" type="list">
      <formula1>"Må,Bør,Kan,Ikke"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14" customWidth="1" min="5" max="5"/>
    <col width="50" customWidth="1" min="6" max="6"/>
    <col width="30" customWidth="1" min="7" max="7"/>
  </cols>
  <sheetData>
    <row r="1">
      <c r="A1" s="1" t="inlineStr">
        <is>
          <t>Integrasjoner</t>
        </is>
      </c>
    </row>
    <row r="2">
      <c r="A2" s="2" t="inlineStr">
        <is>
          <t>Hva systemet må snakke med. Gule felt fylles inn.</t>
        </is>
      </c>
    </row>
    <row r="4" ht="32" customHeight="1">
      <c r="A4" s="10" t="inlineStr">
        <is>
          <t>System</t>
        </is>
      </c>
      <c r="B4" s="10" t="inlineStr">
        <is>
          <t>Brukes til</t>
        </is>
      </c>
      <c r="C4" s="10" t="inlineStr">
        <is>
          <t>Produkt / versjon</t>
        </is>
      </c>
      <c r="D4" s="10" t="inlineStr">
        <is>
          <t>Eier / kontakt</t>
        </is>
      </c>
      <c r="E4" s="10" t="inlineStr">
        <is>
          <t>API-tilgang?</t>
        </is>
      </c>
      <c r="F4" s="10" t="inlineStr">
        <is>
          <t>Må avklares</t>
        </is>
      </c>
      <c r="G4" s="10" t="inlineStr">
        <is>
          <t>Svar</t>
        </is>
      </c>
    </row>
    <row r="5" ht="48" customHeight="1">
      <c r="A5" s="22" t="inlineStr">
        <is>
          <t>Visma</t>
        </is>
      </c>
      <c r="B5" s="11" t="inlineStr">
        <is>
          <t>Kunder og fakturaer, betalingsstatus</t>
        </is>
      </c>
      <c r="C5" s="13" t="n"/>
      <c r="D5" s="13" t="n"/>
      <c r="E5" s="13" t="n"/>
      <c r="F5" s="11" t="inlineStr">
        <is>
          <t>Hvilket Visma-produkt? (eAccounting/eRegnskap, Visma.net, Business NXT …) Har vi API-lisens? Artikkelnumre per kurstype? Hvem fører regnskapet (internt/regnskapsbyrå)?</t>
        </is>
      </c>
      <c r="G5" s="13" t="n"/>
    </row>
    <row r="6" ht="48" customHeight="1">
      <c r="A6" s="22" t="inlineStr">
        <is>
          <t>SharePoint</t>
        </is>
      </c>
      <c r="B6" s="11" t="inlineStr">
        <is>
          <t>Kursmateriell, kontrakter, arkiv</t>
        </is>
      </c>
      <c r="C6" s="13" t="n"/>
      <c r="D6" s="13" t="n"/>
      <c r="E6" s="13" t="n"/>
      <c r="F6" s="11" t="inlineStr">
        <is>
          <t>Hvilken site/bibliotek? Dagens mappestruktur? Hvem skal ha tilgang? Oppbevaringstid?</t>
        </is>
      </c>
      <c r="G6" s="13" t="n"/>
    </row>
    <row r="7" ht="48" customHeight="1">
      <c r="A7" s="22" t="inlineStr">
        <is>
          <t>E-post (M365)</t>
        </is>
      </c>
      <c r="B7" s="11" t="inlineStr">
        <is>
          <t>Utsending til deltakere, svar fra deltakere</t>
        </is>
      </c>
      <c r="C7" s="13" t="n"/>
      <c r="D7" s="13" t="n"/>
      <c r="E7" s="13" t="n"/>
      <c r="F7" s="11" t="inlineStr">
        <is>
          <t>Egen kurspostboks (f.eks. kurs@)? Delt postboks? Hvor havner svar? Signatur/avsendernavn?</t>
        </is>
      </c>
      <c r="G7" s="13" t="n"/>
    </row>
    <row r="8" ht="48" customHeight="1">
      <c r="A8" s="22" t="inlineStr">
        <is>
          <t>Zoom / Teams</t>
        </is>
      </c>
      <c r="B8" s="11" t="inlineStr">
        <is>
          <t>Digitale kursdager, oppmøte</t>
        </is>
      </c>
      <c r="C8" s="13" t="n"/>
      <c r="D8" s="13" t="n"/>
      <c r="E8" s="13" t="n"/>
      <c r="F8" s="11" t="inlineStr">
        <is>
          <t>Zoom eller Teams? Hvilken lisens/konto? Hvem er vert?</t>
        </is>
      </c>
      <c r="G8" s="13" t="n"/>
    </row>
    <row r="9" ht="48" customHeight="1">
      <c r="A9" s="22" t="inlineStr">
        <is>
          <t>Nettside</t>
        </is>
      </c>
      <c r="B9" s="11" t="inlineStr">
        <is>
          <t>Kursoversikt, lenke til påmelding</t>
        </is>
      </c>
      <c r="C9" s="13" t="n"/>
      <c r="D9" s="13" t="n"/>
      <c r="E9" s="13" t="n"/>
      <c r="F9" s="11" t="inlineStr">
        <is>
          <t>Craft CMS (byrå Bielke&amp;Yang). Har IPR innlogging til Craft? Hvem bytter ~45 Booking-lenker? Se egen rapport.</t>
        </is>
      </c>
      <c r="G9" s="13" t="n"/>
    </row>
    <row r="10" ht="48" customHeight="1">
      <c r="A10" s="22" t="inlineStr">
        <is>
          <t>Pindena</t>
        </is>
      </c>
      <c r="B10" s="11" t="inlineStr">
        <is>
          <t>Dagens system (to kontoer: IPR og IPR Oslo)</t>
        </is>
      </c>
      <c r="C10" s="13" t="n"/>
      <c r="D10" s="13" t="n"/>
      <c r="E10" s="13" t="n"/>
      <c r="F10" s="11" t="inlineStr">
        <is>
          <t>Eksport av historikk (deltakere, kurs, fakturaer, NIEFT-medlemmer)? Oppsigelsestid og kostnad per år for begge kontoer? Hva må migreres?</t>
        </is>
      </c>
      <c r="G10" s="13" t="n"/>
    </row>
    <row r="11" ht="48" customHeight="1">
      <c r="A11" s="22" t="inlineStr">
        <is>
          <t>Aspit Helse</t>
        </is>
      </c>
      <c r="B11" s="11" t="inlineStr">
        <is>
          <t>Timebestilling/journal (klienter)</t>
        </is>
      </c>
      <c r="C11" s="13" t="n"/>
      <c r="D11" s="13" t="n"/>
      <c r="E11" s="13" t="n"/>
      <c r="F11" s="11" t="inlineStr">
        <is>
          <t>Utenfor kursløsningen – men bekreft at ingenting kursrelatert går via Aspit.</t>
        </is>
      </c>
      <c r="G11" s="13" t="n"/>
    </row>
    <row r="12" ht="48" customHeight="1">
      <c r="A12" s="22" t="inlineStr">
        <is>
          <t>Signering</t>
        </is>
      </c>
      <c r="B12" s="11" t="inlineStr">
        <is>
          <t>Kontrakter</t>
        </is>
      </c>
      <c r="C12" s="13" t="n"/>
      <c r="D12" s="13" t="n"/>
      <c r="E12" s="13" t="n"/>
      <c r="F12" s="11" t="inlineStr">
        <is>
          <t>Brukes digital signering i dag (Visma Sign, Signicat, Adobe)?</t>
        </is>
      </c>
      <c r="G12" s="13" t="n"/>
    </row>
    <row r="13" ht="48" customHeight="1">
      <c r="A13" s="22" t="inlineStr">
        <is>
          <t>Betaling</t>
        </is>
      </c>
      <c r="B13" s="11" t="inlineStr">
        <is>
          <t>Kort/Vipps</t>
        </is>
      </c>
      <c r="C13" s="13" t="n"/>
      <c r="D13" s="13" t="n"/>
      <c r="E13" s="13" t="n"/>
      <c r="F13" s="11" t="inlineStr">
        <is>
          <t>Ønskes betaling ved påmelding? Eksisterende avtale?</t>
        </is>
      </c>
      <c r="G13" s="13" t="n"/>
    </row>
    <row r="14" ht="48" customHeight="1">
      <c r="A14" s="22" t="inlineStr">
        <is>
          <t>Kalender</t>
        </is>
      </c>
      <c r="B14" s="11" t="inlineStr">
        <is>
          <t>Kursholdere</t>
        </is>
      </c>
      <c r="C14" s="13" t="n"/>
      <c r="D14" s="13" t="n"/>
      <c r="E14" s="13" t="n"/>
      <c r="F14" s="11" t="inlineStr">
        <is>
          <t>Skal kursdager inn i kursholders Outlook-kalender?</t>
        </is>
      </c>
      <c r="G14" s="13" t="n"/>
    </row>
  </sheetData>
  <dataValidations count="1">
    <dataValidation sqref="E5:E14" showDropDown="0" showInputMessage="0" showErrorMessage="0" allowBlank="1" type="list">
      <formula1>"Ja,Nei,Vet ikke"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44" customWidth="1" min="3" max="3"/>
    <col width="20" customWidth="1" min="4" max="4"/>
  </cols>
  <sheetData>
    <row r="1">
      <c r="A1" s="1" t="inlineStr">
        <is>
          <t>Spørsmål til IT-tjenesten</t>
        </is>
      </c>
    </row>
    <row r="2">
      <c r="A2" s="2" t="inlineStr">
        <is>
          <t>Brukes som grunnlag for IT-bestillingen. Se «IT-bestilling – utkast».</t>
        </is>
      </c>
    </row>
    <row r="4" ht="32" customHeight="1">
      <c r="A4" s="10" t="inlineStr">
        <is>
          <t>#</t>
        </is>
      </c>
      <c r="B4" s="10" t="inlineStr">
        <is>
          <t>Spørsmål</t>
        </is>
      </c>
      <c r="C4" s="10" t="inlineStr">
        <is>
          <t>Svar</t>
        </is>
      </c>
      <c r="D4" s="10" t="inlineStr">
        <is>
          <t>Ansvar</t>
        </is>
      </c>
    </row>
    <row r="5" ht="32" customHeight="1">
      <c r="A5" s="11" t="n">
        <v>1</v>
      </c>
      <c r="B5" s="11" t="inlineStr">
        <is>
          <t>Har IPR et Azure-abonnement i dag? Hvem administrerer det?</t>
        </is>
      </c>
      <c r="C5" s="13" t="n"/>
      <c r="D5" s="13" t="n"/>
    </row>
    <row r="6" ht="32" customHeight="1">
      <c r="A6" s="11" t="n">
        <v>2</v>
      </c>
      <c r="B6" s="11" t="inlineStr">
        <is>
          <t>Kan IT sette opp en webapp (Azure App Service / Container Apps) i region Norway East?</t>
        </is>
      </c>
      <c r="C6" s="13" t="n"/>
      <c r="D6" s="13" t="n"/>
    </row>
    <row r="7" ht="32" customHeight="1">
      <c r="A7" s="11" t="n">
        <v>3</v>
      </c>
      <c r="B7" s="11" t="inlineStr">
        <is>
          <t>Database: Azure Database for PostgreSQL eller Azure SQL – hva foretrekker/støtter IT?</t>
        </is>
      </c>
      <c r="C7" s="13" t="n"/>
      <c r="D7" s="13" t="n"/>
    </row>
    <row r="8" ht="32" customHeight="1">
      <c r="A8" s="11" t="n">
        <v>4</v>
      </c>
      <c r="B8" s="11" t="inlineStr">
        <is>
          <t>Kan appen få tilgang til SharePoint og e-post via Managed Identity / app-registrering (Sites.Selected, Mail.Send begrenset til kurs-postboks)?</t>
        </is>
      </c>
      <c r="C8" s="13" t="n"/>
      <c r="D8" s="13" t="n"/>
    </row>
    <row r="9" ht="32" customHeight="1">
      <c r="A9" s="11" t="n">
        <v>5</v>
      </c>
      <c r="B9" s="11" t="inlineStr">
        <is>
          <t>Kan adm-brukere logge inn med IPR-kontoen (Entra ID) med en egen gruppe for kursadmin?</t>
        </is>
      </c>
      <c r="C9" s="13" t="n"/>
      <c r="D9" s="13" t="n"/>
    </row>
    <row r="10" ht="32" customHeight="1">
      <c r="A10" s="11" t="n">
        <v>6</v>
      </c>
      <c r="B10" s="11" t="inlineStr">
        <is>
          <t>Hvem eier domene/DNS? Kan vi få f.eks. kurs.[domene].no med HTTPS-sertifikat?</t>
        </is>
      </c>
      <c r="C10" s="13" t="n"/>
      <c r="D10" s="13" t="n"/>
    </row>
    <row r="11" ht="32" customHeight="1">
      <c r="A11" s="11" t="n">
        <v>7</v>
      </c>
      <c r="B11" s="11" t="inlineStr">
        <is>
          <t>Publisering: Kan vi deploye fra GitHub (GitHub Actions med OIDC) uten å gå via IT for hver endring?</t>
        </is>
      </c>
      <c r="C11" s="13" t="n"/>
      <c r="D11" s="13" t="n"/>
    </row>
    <row r="12" ht="32" customHeight="1">
      <c r="A12" s="11" t="n">
        <v>8</v>
      </c>
      <c r="B12" s="11" t="inlineStr">
        <is>
          <t>Får vi et testmiljø i tillegg til produksjon?</t>
        </is>
      </c>
      <c r="C12" s="13" t="n"/>
      <c r="D12" s="13" t="n"/>
    </row>
    <row r="13" ht="32" customHeight="1">
      <c r="A13" s="11" t="n">
        <v>9</v>
      </c>
      <c r="B13" s="11" t="inlineStr">
        <is>
          <t>Backup og gjenoppretting: hva er standard, og hvor lenge oppbevares backup?</t>
        </is>
      </c>
      <c r="C13" s="13" t="n"/>
      <c r="D13" s="13" t="n"/>
    </row>
    <row r="14" ht="32" customHeight="1">
      <c r="A14" s="11" t="n">
        <v>10</v>
      </c>
      <c r="B14" s="11" t="inlineStr">
        <is>
          <t>Overvåking/varsling: hvem varsles hvis appen eller morgenjobben feiler?</t>
        </is>
      </c>
      <c r="C14" s="13" t="n"/>
      <c r="D14" s="13" t="n"/>
    </row>
    <row r="15" ht="32" customHeight="1">
      <c r="A15" s="11" t="n">
        <v>11</v>
      </c>
      <c r="B15" s="11" t="inlineStr">
        <is>
          <t>Sikkerhet: krav til penetrasjonstest, sikkerhetsoppdateringer, logging?</t>
        </is>
      </c>
      <c r="C15" s="13" t="n"/>
      <c r="D15" s="13" t="n"/>
    </row>
    <row r="16" ht="32" customHeight="1">
      <c r="A16" s="11" t="n">
        <v>12</v>
      </c>
      <c r="B16" s="11" t="inlineStr">
        <is>
          <t>Personvern: finnes mal for DPIA og databehandleravtaler? Hvem er personvernombud?</t>
        </is>
      </c>
      <c r="C16" s="13" t="n"/>
      <c r="D16" s="13" t="n"/>
    </row>
    <row r="17" ht="32" customHeight="1">
      <c r="A17" s="11" t="n">
        <v>13</v>
      </c>
      <c r="B17" s="11" t="inlineStr">
        <is>
          <t>Kostnad: hva tar IT for oppsett og løpende forvaltning? Estimert Azure-kost per måned?</t>
        </is>
      </c>
      <c r="C17" s="13" t="n"/>
      <c r="D17" s="13" t="n"/>
    </row>
    <row r="18" ht="32" customHeight="1">
      <c r="A18" s="11" t="n">
        <v>14</v>
      </c>
      <c r="B18" s="11" t="inlineStr">
        <is>
          <t>Hvis Azure ikke er aktuelt: har IT innvendinger mot ekstern hosting (f.eks. Hetzner) med IPR som ansvarlig?</t>
        </is>
      </c>
      <c r="C18" s="13" t="n"/>
      <c r="D18" s="13" t="n"/>
    </row>
    <row r="19" ht="32" customHeight="1">
      <c r="A19" s="11" t="n">
        <v>15</v>
      </c>
      <c r="B19" s="11" t="inlineStr">
        <is>
          <t>Kan adm få installere Claude Code, Git og Python på sin PC?</t>
        </is>
      </c>
      <c r="C19" s="13" t="n"/>
      <c r="D19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Gevinstvurdering</t>
        </is>
      </c>
    </row>
    <row r="2">
      <c r="A2" s="2" t="inlineStr">
        <is>
          <t>Regnes automatisk fra Prosess-arket. Gule celler og blå tall er antakelser som kan endres.</t>
        </is>
      </c>
    </row>
    <row r="4">
      <c r="A4" s="4" t="inlineStr">
        <is>
          <t>Antakelser</t>
        </is>
      </c>
    </row>
    <row r="5">
      <c r="A5" s="11" t="inlineStr">
        <is>
          <t>Timekost adm inkl. sosiale kostnader (kr)</t>
        </is>
      </c>
      <c r="B5" s="14" t="n">
        <v>650</v>
      </c>
      <c r="E5" s="23" t="inlineStr">
        <is>
          <t>Antakelse – erstatt med IPRs faktiske tall</t>
        </is>
      </c>
    </row>
    <row r="6">
      <c r="A6" s="11" t="inlineStr">
        <is>
          <t>Timer i ett årsverk</t>
        </is>
      </c>
      <c r="B6" s="14" t="n">
        <v>1650</v>
      </c>
      <c r="E6" s="23" t="inlineStr">
        <is>
          <t>Antakelse – vanlig tommelfingerregel</t>
        </is>
      </c>
    </row>
    <row r="7">
      <c r="A7" s="11" t="inlineStr">
        <is>
          <t>Pindena lisens per år (kr)</t>
        </is>
      </c>
      <c r="B7" s="14" t="n"/>
      <c r="E7" s="23" t="inlineStr">
        <is>
          <t>Fylles inn</t>
        </is>
      </c>
    </row>
    <row r="8">
      <c r="A8" s="11" t="inlineStr">
        <is>
          <t>Drift Azure + IT-forvaltning per år (kr)</t>
        </is>
      </c>
      <c r="B8" s="14" t="n"/>
      <c r="E8" s="23" t="inlineStr">
        <is>
          <t>Fylles inn etter svar fra IT</t>
        </is>
      </c>
    </row>
    <row r="9">
      <c r="A9" s="11" t="inlineStr">
        <is>
          <t>Vedlikehold med Claude Code, timer per år</t>
        </is>
      </c>
      <c r="B9" s="14" t="n">
        <v>80</v>
      </c>
      <c r="E9" s="23" t="inlineStr">
        <is>
          <t>Antakelse – ca. 1,5 t/uke etter at systemet er i drift</t>
        </is>
      </c>
    </row>
    <row r="10">
      <c r="A10" s="11" t="inlineStr">
        <is>
          <t>Claude-lisens per år (kr)</t>
        </is>
      </c>
      <c r="B10" s="14" t="n"/>
      <c r="E10" s="23" t="inlineStr">
        <is>
          <t>Fylles inn</t>
        </is>
      </c>
    </row>
    <row r="11">
      <c r="A11" s="11" t="inlineStr">
        <is>
          <t>Engangs: utvikling og innføring, timer</t>
        </is>
      </c>
      <c r="B11" s="14" t="n"/>
      <c r="E11" s="23" t="inlineStr">
        <is>
          <t>Fylles inn – Jan + adm</t>
        </is>
      </c>
    </row>
    <row r="13">
      <c r="A13" s="4" t="inlineStr">
        <is>
          <t>Tid per område (timer per år)</t>
        </is>
      </c>
    </row>
    <row r="14">
      <c r="A14" s="24" t="inlineStr">
        <is>
          <t>Område</t>
        </is>
      </c>
      <c r="B14" s="24" t="inlineStr">
        <is>
          <t>I dag</t>
        </is>
      </c>
      <c r="C14" s="24" t="inlineStr">
        <is>
          <t>Spart</t>
        </is>
      </c>
      <c r="D14" s="24" t="inlineStr">
        <is>
          <t>Andel spart</t>
        </is>
      </c>
      <c r="E14" s="24" t="inlineStr">
        <is>
          <t>Kommentar</t>
        </is>
      </c>
    </row>
    <row r="15">
      <c r="A15" s="11" t="inlineStr">
        <is>
          <t>Kursoppsett</t>
        </is>
      </c>
      <c r="B15" s="25">
        <f>SUMIFS(Prosess!$G$5:$G$41,Prosess!$A$5:$A$41,A15)</f>
        <v/>
      </c>
      <c r="C15" s="25">
        <f>SUMIFS(Prosess!$J$5:$J$41,Prosess!$A$5:$A$41,A15)</f>
        <v/>
      </c>
      <c r="D15" s="26">
        <f>IF(B15&gt;0,C15/B15,0)</f>
        <v/>
      </c>
      <c r="E15" s="13" t="n"/>
    </row>
    <row r="16">
      <c r="A16" s="11" t="inlineStr">
        <is>
          <t>Påmelding</t>
        </is>
      </c>
      <c r="B16" s="25">
        <f>SUMIFS(Prosess!$G$5:$G$41,Prosess!$A$5:$A$41,A16)</f>
        <v/>
      </c>
      <c r="C16" s="25">
        <f>SUMIFS(Prosess!$J$5:$J$41,Prosess!$A$5:$A$41,A16)</f>
        <v/>
      </c>
      <c r="D16" s="26">
        <f>IF(B16&gt;0,C16/B16,0)</f>
        <v/>
      </c>
      <c r="E16" s="13" t="n"/>
    </row>
    <row r="17">
      <c r="A17" s="11" t="inlineStr">
        <is>
          <t>Fakturering</t>
        </is>
      </c>
      <c r="B17" s="25">
        <f>SUMIFS(Prosess!$G$5:$G$41,Prosess!$A$5:$A$41,A17)</f>
        <v/>
      </c>
      <c r="C17" s="25">
        <f>SUMIFS(Prosess!$J$5:$J$41,Prosess!$A$5:$A$41,A17)</f>
        <v/>
      </c>
      <c r="D17" s="26">
        <f>IF(B17&gt;0,C17/B17,0)</f>
        <v/>
      </c>
      <c r="E17" s="13" t="n"/>
    </row>
    <row r="18">
      <c r="A18" s="11" t="inlineStr">
        <is>
          <t>Kommunikasjon</t>
        </is>
      </c>
      <c r="B18" s="25">
        <f>SUMIFS(Prosess!$G$5:$G$41,Prosess!$A$5:$A$41,A18)</f>
        <v/>
      </c>
      <c r="C18" s="25">
        <f>SUMIFS(Prosess!$J$5:$J$41,Prosess!$A$5:$A$41,A18)</f>
        <v/>
      </c>
      <c r="D18" s="26">
        <f>IF(B18&gt;0,C18/B18,0)</f>
        <v/>
      </c>
      <c r="E18" s="13" t="n"/>
    </row>
    <row r="19">
      <c r="A19" s="11" t="inlineStr">
        <is>
          <t>Materiell</t>
        </is>
      </c>
      <c r="B19" s="25">
        <f>SUMIFS(Prosess!$G$5:$G$41,Prosess!$A$5:$A$41,A19)</f>
        <v/>
      </c>
      <c r="C19" s="25">
        <f>SUMIFS(Prosess!$J$5:$J$41,Prosess!$A$5:$A$41,A19)</f>
        <v/>
      </c>
      <c r="D19" s="26">
        <f>IF(B19&gt;0,C19/B19,0)</f>
        <v/>
      </c>
      <c r="E19" s="13" t="n"/>
    </row>
    <row r="20">
      <c r="A20" s="11" t="inlineStr">
        <is>
          <t>Gjennomføring</t>
        </is>
      </c>
      <c r="B20" s="25">
        <f>SUMIFS(Prosess!$G$5:$G$41,Prosess!$A$5:$A$41,A20)</f>
        <v/>
      </c>
      <c r="C20" s="25">
        <f>SUMIFS(Prosess!$J$5:$J$41,Prosess!$A$5:$A$41,A20)</f>
        <v/>
      </c>
      <c r="D20" s="26">
        <f>IF(B20&gt;0,C20/B20,0)</f>
        <v/>
      </c>
      <c r="E20" s="13" t="n"/>
    </row>
    <row r="21">
      <c r="A21" s="11" t="inlineStr">
        <is>
          <t>Etterarbeid</t>
        </is>
      </c>
      <c r="B21" s="25">
        <f>SUMIFS(Prosess!$G$5:$G$41,Prosess!$A$5:$A$41,A21)</f>
        <v/>
      </c>
      <c r="C21" s="25">
        <f>SUMIFS(Prosess!$J$5:$J$41,Prosess!$A$5:$A$41,A21)</f>
        <v/>
      </c>
      <c r="D21" s="26">
        <f>IF(B21&gt;0,C21/B21,0)</f>
        <v/>
      </c>
      <c r="E21" s="13" t="n"/>
    </row>
    <row r="22">
      <c r="A22" s="12" t="inlineStr">
        <is>
          <t>Totalt</t>
        </is>
      </c>
      <c r="B22" s="19">
        <f>SUM(B15:B21)</f>
        <v/>
      </c>
      <c r="C22" s="19">
        <f>SUM(C15:C21)</f>
        <v/>
      </c>
      <c r="D22" s="20">
        <f>IF(B22&gt;0,C22/B22,0)</f>
        <v/>
      </c>
      <c r="E22" s="27">
        <f>IF(ABS(B22-Prosess!G42)&gt;0.01,"Sjekk: rader i Prosess mangler område","Stemmer med Prosess-arket")</f>
        <v/>
      </c>
    </row>
    <row r="24">
      <c r="A24" s="4" t="inlineStr">
        <is>
          <t>Økonomi per år</t>
        </is>
      </c>
    </row>
    <row r="25">
      <c r="A25" s="11" t="inlineStr">
        <is>
          <t>Timer spart per år</t>
        </is>
      </c>
      <c r="B25" s="28">
        <f>C22</f>
        <v/>
      </c>
    </row>
    <row r="26">
      <c r="A26" s="11" t="inlineStr">
        <is>
          <t>Tilsvarer årsverk</t>
        </is>
      </c>
      <c r="B26" s="29">
        <f>IF(B6&gt;0,C22/B6,0)</f>
        <v/>
      </c>
    </row>
    <row r="27">
      <c r="A27" s="11" t="inlineStr">
        <is>
          <t>Verdi av spart tid (kr)</t>
        </is>
      </c>
      <c r="B27" s="30">
        <f>C22*B5</f>
        <v/>
      </c>
    </row>
    <row r="28">
      <c r="A28" s="11" t="inlineStr">
        <is>
          <t>+ Pindena-lisens som faller bort (kr)</t>
        </is>
      </c>
      <c r="B28" s="30">
        <f>B7</f>
        <v/>
      </c>
    </row>
    <row r="29">
      <c r="A29" s="11" t="inlineStr">
        <is>
          <t>– Drift Azure/IT (kr)</t>
        </is>
      </c>
      <c r="B29" s="31">
        <f>-B8</f>
        <v/>
      </c>
    </row>
    <row r="30">
      <c r="A30" s="11" t="inlineStr">
        <is>
          <t>– Vedlikehold (kr)</t>
        </is>
      </c>
      <c r="B30" s="31">
        <f>-B9*B5</f>
        <v/>
      </c>
    </row>
    <row r="31">
      <c r="A31" s="11" t="inlineStr">
        <is>
          <t>– Claude-lisens (kr)</t>
        </is>
      </c>
      <c r="B31" s="31">
        <f>-B10</f>
        <v/>
      </c>
    </row>
    <row r="32">
      <c r="A32" s="12" t="inlineStr">
        <is>
          <t>Netto gevinst per år (kr)</t>
        </is>
      </c>
      <c r="B32" s="32">
        <f>SUM(B27:B31)</f>
        <v/>
      </c>
    </row>
    <row r="33">
      <c r="A33" s="11" t="inlineStr">
        <is>
          <t>Engangskostnad utvikling (kr)</t>
        </is>
      </c>
      <c r="B33" s="30">
        <f>B11*B5</f>
        <v/>
      </c>
    </row>
    <row r="34">
      <c r="A34" s="12" t="inlineStr">
        <is>
          <t>Tilbakebetalingstid (måneder)</t>
        </is>
      </c>
      <c r="B34" s="33">
        <f>IF(B32&gt;0,B33/B32*12,"–")</f>
        <v/>
      </c>
    </row>
    <row r="36">
      <c r="A36" s="2" t="inlineStr">
        <is>
          <t>Ikke-økonomiske gevinster (fyll inn): færre feil, bedre deltakeropplevelse, mindre sårbarhet ved fravær, bedre personvern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2026-09-15T07:07:15Z</dcterms:created>
  <dcterms:modified xsi:type="dcterms:W3CDTF">2026-09-15T07:07:15Z</dcterms:modified>
</cp:coreProperties>
</file>